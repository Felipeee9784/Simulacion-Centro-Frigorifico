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mcl-my.sharepoint.com/personal/felipe_camposcal_usm_cl/Documents/EMT/Trabajo_EMT_Felipe_Campos_Melannie_Gajardo/"/>
    </mc:Choice>
  </mc:AlternateContent>
  <xr:revisionPtr revIDLastSave="14" documentId="13_ncr:1_{0EF86204-C1A4-462A-A97A-3137A21AC6DE}" xr6:coauthVersionLast="47" xr6:coauthVersionMax="47" xr10:uidLastSave="{B7A46DFD-790E-4FC3-AA2B-CAD06B94D4DE}"/>
  <bookViews>
    <workbookView xWindow="-120" yWindow="-120" windowWidth="29040" windowHeight="15720" xr2:uid="{946243C3-AEAC-42A6-B94E-C389EE8939FD}"/>
  </bookViews>
  <sheets>
    <sheet name="Temperaturas en Quillota" sheetId="1" r:id="rId1"/>
    <sheet name="Seleccion de Equip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0" i="1" l="1"/>
  <c r="E40" i="2"/>
  <c r="E42" i="2" l="1"/>
  <c r="E41" i="2"/>
  <c r="D40" i="2"/>
  <c r="G55" i="2"/>
  <c r="G50" i="2"/>
  <c r="G51" i="2"/>
  <c r="G52" i="2"/>
  <c r="G53" i="2"/>
  <c r="D53" i="2"/>
  <c r="E53" i="2" s="1"/>
  <c r="F53" i="2"/>
  <c r="F52" i="2"/>
  <c r="F51" i="2"/>
  <c r="E3" i="2"/>
  <c r="F50" i="2"/>
  <c r="G49" i="2"/>
  <c r="F49" i="2"/>
  <c r="E50" i="2"/>
  <c r="E51" i="2"/>
  <c r="E52" i="2"/>
  <c r="E49" i="2"/>
  <c r="D52" i="2"/>
  <c r="D51" i="2"/>
  <c r="D50" i="2"/>
  <c r="D49" i="2"/>
  <c r="C59" i="2"/>
  <c r="F11" i="2"/>
  <c r="F10" i="2"/>
  <c r="F9" i="2"/>
  <c r="F8" i="2"/>
  <c r="F7" i="2"/>
  <c r="H7" i="2" s="1"/>
  <c r="F6" i="2"/>
  <c r="F5" i="2"/>
  <c r="H5" i="2" s="1"/>
  <c r="E11" i="2"/>
  <c r="G11" i="2" s="1"/>
  <c r="E10" i="2"/>
  <c r="G10" i="2" s="1"/>
  <c r="E9" i="2"/>
  <c r="E8" i="2"/>
  <c r="G8" i="2" s="1"/>
  <c r="E7" i="2"/>
  <c r="E6" i="2"/>
  <c r="E5" i="2"/>
  <c r="H27" i="2"/>
  <c r="H26" i="2"/>
  <c r="G31" i="2"/>
  <c r="G3" i="2"/>
  <c r="G27" i="2"/>
  <c r="G26" i="2"/>
  <c r="F17" i="2"/>
  <c r="C41" i="2"/>
  <c r="D41" i="2" s="1"/>
  <c r="C40" i="2"/>
  <c r="F36" i="2"/>
  <c r="F35" i="2"/>
  <c r="F34" i="2"/>
  <c r="F26" i="2"/>
  <c r="F27" i="2"/>
  <c r="F28" i="2"/>
  <c r="F29" i="2"/>
  <c r="F30" i="2"/>
  <c r="F31" i="2"/>
  <c r="F32" i="2"/>
  <c r="F33" i="2"/>
  <c r="F25" i="2"/>
  <c r="F37" i="2" s="1"/>
  <c r="F21" i="2"/>
  <c r="H21" i="2" s="1"/>
  <c r="I21" i="2" s="1"/>
  <c r="F20" i="2"/>
  <c r="H20" i="2" s="1"/>
  <c r="F19" i="2"/>
  <c r="H19" i="2" s="1"/>
  <c r="F18" i="2"/>
  <c r="H18" i="2" s="1"/>
  <c r="H17" i="2"/>
  <c r="F16" i="2"/>
  <c r="H16" i="2" s="1"/>
  <c r="F15" i="2"/>
  <c r="H15" i="2" s="1"/>
  <c r="F14" i="2"/>
  <c r="H14" i="2" s="1"/>
  <c r="F13" i="2"/>
  <c r="H13" i="2" s="1"/>
  <c r="F12" i="2"/>
  <c r="H12" i="2" s="1"/>
  <c r="E18" i="2"/>
  <c r="E15" i="2"/>
  <c r="E14" i="2"/>
  <c r="G14" i="2" s="1"/>
  <c r="E13" i="2"/>
  <c r="G13" i="2" s="1"/>
  <c r="E12" i="2"/>
  <c r="E21" i="2"/>
  <c r="G21" i="2" s="1"/>
  <c r="E20" i="2"/>
  <c r="G20" i="2" s="1"/>
  <c r="E19" i="2"/>
  <c r="E17" i="2"/>
  <c r="G17" i="2" s="1"/>
  <c r="E16" i="2"/>
  <c r="G16" i="2" s="1"/>
  <c r="H10" i="2"/>
  <c r="H9" i="2"/>
  <c r="H8" i="2"/>
  <c r="H6" i="2"/>
  <c r="G9" i="2"/>
  <c r="G5" i="2"/>
  <c r="G7" i="2"/>
  <c r="G6" i="2"/>
  <c r="F4" i="2"/>
  <c r="H4" i="2" s="1"/>
  <c r="F3" i="2"/>
  <c r="H3" i="2" s="1"/>
  <c r="E4" i="2"/>
  <c r="G4" i="2" s="1"/>
  <c r="S41" i="2"/>
  <c r="S40" i="2"/>
  <c r="S39" i="2"/>
  <c r="Q41" i="2"/>
  <c r="U41" i="2" s="1"/>
  <c r="Z41" i="2" s="1"/>
  <c r="Q40" i="2"/>
  <c r="U40" i="2" s="1"/>
  <c r="Z40" i="2" s="1"/>
  <c r="Q39" i="2"/>
  <c r="U39" i="2" s="1"/>
  <c r="Z39" i="2" s="1"/>
  <c r="G3" i="1"/>
  <c r="G2" i="1"/>
  <c r="Q4" i="2"/>
  <c r="Q5" i="2"/>
  <c r="Q3" i="2"/>
  <c r="S4" i="2"/>
  <c r="S3" i="2"/>
  <c r="D42" i="2" l="1"/>
  <c r="M20" i="2"/>
  <c r="J10" i="2"/>
  <c r="M14" i="2"/>
  <c r="I16" i="2"/>
  <c r="I13" i="2"/>
  <c r="L21" i="2"/>
  <c r="K14" i="2"/>
  <c r="J14" i="2"/>
  <c r="I17" i="2"/>
  <c r="K13" i="2"/>
  <c r="K8" i="2"/>
  <c r="K15" i="2"/>
  <c r="J13" i="2"/>
  <c r="M9" i="2"/>
  <c r="G15" i="2"/>
  <c r="J15" i="2" s="1"/>
  <c r="L16" i="2"/>
  <c r="M16" i="2"/>
  <c r="M17" i="2"/>
  <c r="J17" i="2"/>
  <c r="K17" i="2"/>
  <c r="L17" i="2"/>
  <c r="I20" i="2"/>
  <c r="M12" i="2"/>
  <c r="J21" i="2"/>
  <c r="L14" i="2"/>
  <c r="L13" i="2"/>
  <c r="L20" i="2"/>
  <c r="I14" i="2"/>
  <c r="K20" i="2"/>
  <c r="H11" i="2"/>
  <c r="K11" i="2" s="1"/>
  <c r="K10" i="2"/>
  <c r="L10" i="2"/>
  <c r="J20" i="2"/>
  <c r="M5" i="2"/>
  <c r="K16" i="2"/>
  <c r="G19" i="2"/>
  <c r="L19" i="2" s="1"/>
  <c r="M21" i="2"/>
  <c r="K21" i="2"/>
  <c r="M13" i="2"/>
  <c r="G12" i="2"/>
  <c r="I12" i="2" s="1"/>
  <c r="G18" i="2"/>
  <c r="L18" i="2" s="1"/>
  <c r="J16" i="2"/>
  <c r="L9" i="2"/>
  <c r="L8" i="2"/>
  <c r="K9" i="2"/>
  <c r="M10" i="2"/>
  <c r="J5" i="2"/>
  <c r="K7" i="2"/>
  <c r="K6" i="2"/>
  <c r="M8" i="2"/>
  <c r="L5" i="2"/>
  <c r="M7" i="2"/>
  <c r="J9" i="2"/>
  <c r="M6" i="2"/>
  <c r="J8" i="2"/>
  <c r="J7" i="2"/>
  <c r="J6" i="2"/>
  <c r="K5" i="2"/>
  <c r="L7" i="2"/>
  <c r="L6" i="2"/>
  <c r="I5" i="2"/>
  <c r="I6" i="2"/>
  <c r="I7" i="2"/>
  <c r="I3" i="2"/>
  <c r="I4" i="2"/>
  <c r="I8" i="2"/>
  <c r="I10" i="2"/>
  <c r="I9" i="2"/>
  <c r="Z42" i="2"/>
  <c r="I18" i="2" l="1"/>
  <c r="J18" i="2"/>
  <c r="J12" i="2"/>
  <c r="L15" i="2"/>
  <c r="M15" i="2"/>
  <c r="I19" i="2"/>
  <c r="I15" i="2"/>
  <c r="M11" i="2"/>
  <c r="L11" i="2"/>
  <c r="J19" i="2"/>
  <c r="I11" i="2"/>
  <c r="M19" i="2"/>
  <c r="K12" i="2"/>
  <c r="K19" i="2"/>
  <c r="K18" i="2"/>
  <c r="J11" i="2"/>
  <c r="L12" i="2"/>
  <c r="M18" i="2"/>
</calcChain>
</file>

<file path=xl/sharedStrings.xml><?xml version="1.0" encoding="utf-8"?>
<sst xmlns="http://schemas.openxmlformats.org/spreadsheetml/2006/main" count="156" uniqueCount="107">
  <si>
    <t>Hora</t>
  </si>
  <si>
    <t>Temp [°C]</t>
  </si>
  <si>
    <t>Hora dia</t>
  </si>
  <si>
    <t>Dia</t>
  </si>
  <si>
    <t>Lunes
12-01-26</t>
  </si>
  <si>
    <t>Martes
13-01-26</t>
  </si>
  <si>
    <t>Miercoles
14-01-26</t>
  </si>
  <si>
    <t>Jueves
15-01-26</t>
  </si>
  <si>
    <t>Viernes
16-01-26</t>
  </si>
  <si>
    <t>Sábado
17-01-26</t>
  </si>
  <si>
    <t>Domingo
18-01-26</t>
  </si>
  <si>
    <t>Datos de estación Quillota, liceo agricola (320124)</t>
  </si>
  <si>
    <t>Humedad (%)</t>
  </si>
  <si>
    <t>Queso</t>
  </si>
  <si>
    <t>Sala</t>
  </si>
  <si>
    <t>Mantequilla</t>
  </si>
  <si>
    <t>Packing</t>
  </si>
  <si>
    <t>Q_abatido Max [W]</t>
  </si>
  <si>
    <t>Electricidad</t>
  </si>
  <si>
    <t>[$/kWh]</t>
  </si>
  <si>
    <t>Reparto</t>
  </si>
  <si>
    <t>Mantenimiento</t>
  </si>
  <si>
    <t>[$/viaje]</t>
  </si>
  <si>
    <t>Carga [pallet]</t>
  </si>
  <si>
    <t>N° de camiones</t>
  </si>
  <si>
    <t>Precio</t>
  </si>
  <si>
    <t>Servicio</t>
  </si>
  <si>
    <t>Unidad</t>
  </si>
  <si>
    <t>[valor equipo]</t>
  </si>
  <si>
    <t>Nombre</t>
  </si>
  <si>
    <t>Condensador</t>
  </si>
  <si>
    <t>Evaporador</t>
  </si>
  <si>
    <t>Compresor</t>
  </si>
  <si>
    <t>Q_max [kcal/h]</t>
  </si>
  <si>
    <t>T_Máx</t>
  </si>
  <si>
    <t xml:space="preserve">T_prom </t>
  </si>
  <si>
    <t>Q_ref [W]</t>
  </si>
  <si>
    <t>N° Comp</t>
  </si>
  <si>
    <t>Qc [kcal/h]</t>
  </si>
  <si>
    <t>P[kW]</t>
  </si>
  <si>
    <t>Cr (R-404a)</t>
  </si>
  <si>
    <t>Ca (T~30)</t>
  </si>
  <si>
    <t>Ch (~400 m.s.n.m)</t>
  </si>
  <si>
    <t>DT (~10 [K])</t>
  </si>
  <si>
    <t>Q_cond [kcal/h]</t>
  </si>
  <si>
    <t>Semi-hermetic Reciprocating Compressors</t>
  </si>
  <si>
    <t>Costo [USD]</t>
  </si>
  <si>
    <t>Consumo [$/h]</t>
  </si>
  <si>
    <t>Mantenimiento [USD]</t>
  </si>
  <si>
    <t>Equipo</t>
  </si>
  <si>
    <t>Mantequilla +Packing</t>
  </si>
  <si>
    <t>Cantidad</t>
  </si>
  <si>
    <t>CA3-502-129D-H[V] (44409 [kcl/h] ; 500/50/400D)</t>
  </si>
  <si>
    <t>CA3-503-193D-H[V] (88818 [kcal/h] ; 500/50/400D)</t>
  </si>
  <si>
    <t>CA3-633-252D-H[V] (87006 [kcal/h] ; 630/50/400D)</t>
  </si>
  <si>
    <t>CA3-505-215Y-H[V] (74015 [kcal/h] ; 500/50/400Y)</t>
  </si>
  <si>
    <t>CA3-634-224Y-H[V] (77338 [kcal/h] ; 630/50/400Y)</t>
  </si>
  <si>
    <t>CA3-802-212Y-H[V] (73109 [kcal/h] ; 800/50/400Y)</t>
  </si>
  <si>
    <t>CA3 EC-632-201-H[V] (69333 [kcal/h] ; 630E/50-60/400)</t>
  </si>
  <si>
    <t>Consumo mensual [USD]</t>
  </si>
  <si>
    <t>Total Mensual [USD]</t>
  </si>
  <si>
    <t>Año 1</t>
  </si>
  <si>
    <t>Año 2</t>
  </si>
  <si>
    <t>Año 3</t>
  </si>
  <si>
    <t>Año 4</t>
  </si>
  <si>
    <t>Todas</t>
  </si>
  <si>
    <t xml:space="preserve">Mantequilla </t>
  </si>
  <si>
    <t xml:space="preserve">Packing </t>
  </si>
  <si>
    <t>EVC5-401S/25 (5771 [kcal/h] ; 160 [W] + 3*630 [W])</t>
  </si>
  <si>
    <t>EVC5-401/33 (7395 [kcal/h] ; 160 [W] + 5*630 [W])</t>
  </si>
  <si>
    <t>EVC5-403S/75 (17314 [kcal/h] ; 480 [W] + 3*1540 [W])</t>
  </si>
  <si>
    <t>EVC5-501/67 (15007 [kcal/h] ; 780 [W] + 7*749[W])</t>
  </si>
  <si>
    <t>EVC5-402/67 (14791 [kcal/h] ; 320 [W] + 5*1120[W])</t>
  </si>
  <si>
    <t>EVC5-404/133 (29582 [kcal/h] ; 640 [W] + 5*2100[W])</t>
  </si>
  <si>
    <t>EVC5-405S/125 (28856 [kcal/h] ; 800 [W] + 3*2520[W])</t>
  </si>
  <si>
    <t>EVC5-502/133 (30014 [kcal/h] ; 1560 [W] + 7*1330[W])</t>
  </si>
  <si>
    <t>Techo</t>
  </si>
  <si>
    <t>Piso</t>
  </si>
  <si>
    <t>Muros</t>
  </si>
  <si>
    <t xml:space="preserve">Muros </t>
  </si>
  <si>
    <t>Áreas [m^2]</t>
  </si>
  <si>
    <t>Partes</t>
  </si>
  <si>
    <t>Material</t>
  </si>
  <si>
    <t>Precio Total [USD]</t>
  </si>
  <si>
    <t>Precio [USD/m^2]</t>
  </si>
  <si>
    <t>PUR</t>
  </si>
  <si>
    <t>Piso Ventilado</t>
  </si>
  <si>
    <t>Total</t>
  </si>
  <si>
    <t>Muros Intermedios</t>
  </si>
  <si>
    <t>Queso-Mantequilla</t>
  </si>
  <si>
    <t>Mantequilla-Packing</t>
  </si>
  <si>
    <t>Queso-Packing</t>
  </si>
  <si>
    <t>Costo Reparto [USD]</t>
  </si>
  <si>
    <t>Potencia [kW]</t>
  </si>
  <si>
    <t>[-]</t>
  </si>
  <si>
    <t>Consumo mensual [kWh/mes]</t>
  </si>
  <si>
    <t>Consumo anual [kWh/año] </t>
  </si>
  <si>
    <t>Costo mantenimiento</t>
  </si>
  <si>
    <t>[USD]</t>
  </si>
  <si>
    <t>Costo anual</t>
  </si>
  <si>
    <t>Condensador CA3-634-224Y-H[V] </t>
  </si>
  <si>
    <t>Evaporador EVC5-405S/125</t>
  </si>
  <si>
    <t>EVC5-401S/25</t>
  </si>
  <si>
    <t>[h/mes]</t>
  </si>
  <si>
    <t>[USD/año]</t>
  </si>
  <si>
    <t>La memoria de calculo de la selección de equipos está en la siguiente Hoja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</si>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</sst>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Century Schoolbook"/>
      <family val="1"/>
    </font>
    <font>
      <sz val="10"/>
      <color rgb="FF000000"/>
      <name val="Century Schoolbook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C000"/>
      </right>
      <top style="thin">
        <color indexed="64"/>
      </top>
      <bottom style="thin">
        <color indexed="64"/>
      </bottom>
      <diagonal/>
    </border>
    <border>
      <left/>
      <right style="thick">
        <color rgb="FFFFC000"/>
      </right>
      <top style="thick">
        <color rgb="FFFF0000"/>
      </top>
      <bottom style="thick">
        <color rgb="FFFFC000"/>
      </bottom>
      <diagonal/>
    </border>
    <border>
      <left style="thick">
        <color rgb="FFFFC000"/>
      </left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C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164" fontId="0" fillId="0" borderId="0" xfId="0" applyNumberFormat="1"/>
    <xf numFmtId="1" fontId="0" fillId="0" borderId="1" xfId="0" applyNumberFormat="1" applyBorder="1"/>
    <xf numFmtId="0" fontId="0" fillId="2" borderId="1" xfId="0" applyFill="1" applyBorder="1"/>
    <xf numFmtId="0" fontId="0" fillId="5" borderId="1" xfId="0" applyFill="1" applyBorder="1"/>
    <xf numFmtId="9" fontId="0" fillId="0" borderId="1" xfId="0" applyNumberFormat="1" applyBorder="1"/>
    <xf numFmtId="0" fontId="0" fillId="0" borderId="2" xfId="0" applyBorder="1"/>
    <xf numFmtId="0" fontId="0" fillId="0" borderId="6" xfId="0" applyBorder="1"/>
    <xf numFmtId="0" fontId="0" fillId="0" borderId="11" xfId="0" applyBorder="1"/>
    <xf numFmtId="0" fontId="0" fillId="4" borderId="2" xfId="0" applyFill="1" applyBorder="1"/>
    <xf numFmtId="0" fontId="0" fillId="4" borderId="13" xfId="0" applyFill="1" applyBorder="1"/>
    <xf numFmtId="164" fontId="0" fillId="0" borderId="1" xfId="0" applyNumberFormat="1" applyBorder="1"/>
    <xf numFmtId="0" fontId="0" fillId="4" borderId="18" xfId="0" applyFill="1" applyBorder="1"/>
    <xf numFmtId="0" fontId="0" fillId="0" borderId="18" xfId="0" applyBorder="1"/>
    <xf numFmtId="0" fontId="0" fillId="0" borderId="19" xfId="0" applyBorder="1"/>
    <xf numFmtId="0" fontId="0" fillId="4" borderId="0" xfId="0" applyFill="1"/>
    <xf numFmtId="1" fontId="0" fillId="0" borderId="18" xfId="0" applyNumberFormat="1" applyBorder="1"/>
    <xf numFmtId="0" fontId="0" fillId="4" borderId="19" xfId="0" applyFill="1" applyBorder="1"/>
    <xf numFmtId="0" fontId="0" fillId="0" borderId="22" xfId="0" applyBorder="1"/>
    <xf numFmtId="1" fontId="0" fillId="0" borderId="21" xfId="0" applyNumberFormat="1" applyBorder="1"/>
    <xf numFmtId="0" fontId="0" fillId="0" borderId="23" xfId="0" applyBorder="1"/>
    <xf numFmtId="0" fontId="0" fillId="0" borderId="20" xfId="0" applyBorder="1"/>
    <xf numFmtId="2" fontId="0" fillId="0" borderId="24" xfId="0" applyNumberFormat="1" applyBorder="1"/>
    <xf numFmtId="2" fontId="0" fillId="0" borderId="25" xfId="0" applyNumberFormat="1" applyBorder="1"/>
    <xf numFmtId="164" fontId="0" fillId="0" borderId="6" xfId="0" applyNumberFormat="1" applyBorder="1"/>
    <xf numFmtId="0" fontId="0" fillId="6" borderId="1" xfId="0" applyFill="1" applyBorder="1"/>
    <xf numFmtId="0" fontId="0" fillId="0" borderId="0" xfId="0" applyAlignment="1">
      <alignment vertical="center"/>
    </xf>
    <xf numFmtId="164" fontId="0" fillId="0" borderId="11" xfId="0" applyNumberFormat="1" applyBorder="1"/>
    <xf numFmtId="164" fontId="0" fillId="0" borderId="2" xfId="0" applyNumberFormat="1" applyBorder="1"/>
    <xf numFmtId="0" fontId="0" fillId="2" borderId="6" xfId="0" applyFill="1" applyBorder="1"/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8" borderId="1" xfId="0" applyFill="1" applyBorder="1"/>
    <xf numFmtId="164" fontId="0" fillId="0" borderId="7" xfId="0" applyNumberFormat="1" applyBorder="1"/>
    <xf numFmtId="0" fontId="0" fillId="4" borderId="35" xfId="0" applyFill="1" applyBorder="1"/>
    <xf numFmtId="0" fontId="0" fillId="0" borderId="36" xfId="0" applyBorder="1"/>
    <xf numFmtId="0" fontId="0" fillId="0" borderId="4" xfId="0" applyBorder="1"/>
    <xf numFmtId="0" fontId="0" fillId="0" borderId="37" xfId="0" applyBorder="1"/>
    <xf numFmtId="164" fontId="0" fillId="0" borderId="12" xfId="0" applyNumberFormat="1" applyBorder="1"/>
    <xf numFmtId="164" fontId="0" fillId="0" borderId="9" xfId="0" applyNumberFormat="1" applyBorder="1"/>
    <xf numFmtId="164" fontId="0" fillId="8" borderId="9" xfId="0" applyNumberFormat="1" applyFill="1" applyBorder="1"/>
    <xf numFmtId="164" fontId="0" fillId="0" borderId="34" xfId="0" applyNumberFormat="1" applyBorder="1"/>
    <xf numFmtId="164" fontId="0" fillId="8" borderId="0" xfId="0" applyNumberFormat="1" applyFill="1"/>
    <xf numFmtId="0" fontId="0" fillId="7" borderId="2" xfId="0" applyFill="1" applyBorder="1"/>
    <xf numFmtId="1" fontId="0" fillId="0" borderId="2" xfId="0" applyNumberFormat="1" applyBorder="1"/>
    <xf numFmtId="1" fontId="0" fillId="0" borderId="6" xfId="0" applyNumberFormat="1" applyBorder="1"/>
    <xf numFmtId="164" fontId="0" fillId="8" borderId="34" xfId="0" applyNumberFormat="1" applyFill="1" applyBorder="1"/>
    <xf numFmtId="164" fontId="0" fillId="0" borderId="26" xfId="0" applyNumberFormat="1" applyBorder="1"/>
    <xf numFmtId="164" fontId="0" fillId="0" borderId="27" xfId="0" applyNumberFormat="1" applyBorder="1"/>
    <xf numFmtId="164" fontId="0" fillId="0" borderId="28" xfId="0" applyNumberFormat="1" applyBorder="1"/>
    <xf numFmtId="164" fontId="0" fillId="0" borderId="29" xfId="0" applyNumberFormat="1" applyBorder="1"/>
    <xf numFmtId="164" fontId="0" fillId="0" borderId="30" xfId="0" applyNumberFormat="1" applyBorder="1"/>
    <xf numFmtId="164" fontId="0" fillId="0" borderId="31" xfId="0" applyNumberFormat="1" applyBorder="1"/>
    <xf numFmtId="164" fontId="0" fillId="0" borderId="32" xfId="0" applyNumberFormat="1" applyBorder="1"/>
    <xf numFmtId="164" fontId="0" fillId="0" borderId="33" xfId="0" applyNumberFormat="1" applyBorder="1"/>
    <xf numFmtId="164" fontId="0" fillId="8" borderId="29" xfId="0" applyNumberFormat="1" applyFill="1" applyBorder="1"/>
    <xf numFmtId="164" fontId="0" fillId="8" borderId="30" xfId="0" applyNumberFormat="1" applyFill="1" applyBorder="1"/>
    <xf numFmtId="164" fontId="0" fillId="8" borderId="12" xfId="0" applyNumberFormat="1" applyFill="1" applyBorder="1"/>
    <xf numFmtId="164" fontId="0" fillId="8" borderId="31" xfId="0" applyNumberFormat="1" applyFill="1" applyBorder="1"/>
    <xf numFmtId="164" fontId="0" fillId="8" borderId="32" xfId="0" applyNumberFormat="1" applyFill="1" applyBorder="1"/>
    <xf numFmtId="164" fontId="0" fillId="8" borderId="33" xfId="0" applyNumberFormat="1" applyFill="1" applyBorder="1"/>
    <xf numFmtId="0" fontId="0" fillId="8" borderId="11" xfId="0" applyFill="1" applyBorder="1"/>
    <xf numFmtId="0" fontId="0" fillId="4" borderId="15" xfId="0" applyFill="1" applyBorder="1"/>
    <xf numFmtId="0" fontId="0" fillId="4" borderId="39" xfId="0" applyFill="1" applyBorder="1"/>
    <xf numFmtId="0" fontId="0" fillId="4" borderId="42" xfId="0" applyFill="1" applyBorder="1"/>
    <xf numFmtId="0" fontId="0" fillId="0" borderId="38" xfId="0" applyBorder="1" applyAlignment="1">
      <alignment vertical="center"/>
    </xf>
    <xf numFmtId="164" fontId="0" fillId="0" borderId="41" xfId="0" applyNumberFormat="1" applyBorder="1"/>
    <xf numFmtId="0" fontId="0" fillId="0" borderId="9" xfId="0" applyBorder="1"/>
    <xf numFmtId="0" fontId="0" fillId="0" borderId="12" xfId="0" applyBorder="1"/>
    <xf numFmtId="164" fontId="0" fillId="0" borderId="14" xfId="0" applyNumberFormat="1" applyBorder="1"/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3" xfId="0" applyBorder="1" applyAlignment="1">
      <alignment vertical="top" wrapText="1"/>
    </xf>
    <xf numFmtId="0" fontId="2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vertical="top" wrapText="1"/>
    </xf>
    <xf numFmtId="0" fontId="0" fillId="0" borderId="46" xfId="0" applyBorder="1" applyAlignment="1">
      <alignment vertical="top" wrapText="1"/>
    </xf>
    <xf numFmtId="0" fontId="0" fillId="0" borderId="47" xfId="0" applyBorder="1" applyAlignment="1">
      <alignment vertical="top" wrapText="1"/>
    </xf>
    <xf numFmtId="0" fontId="0" fillId="0" borderId="45" xfId="0" applyBorder="1" applyAlignment="1">
      <alignment vertical="top" wrapText="1"/>
    </xf>
    <xf numFmtId="0" fontId="1" fillId="0" borderId="44" xfId="0" applyFont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0" fontId="2" fillId="0" borderId="44" xfId="0" applyFont="1" applyBorder="1" applyAlignment="1">
      <alignment vertical="center" wrapText="1"/>
    </xf>
    <xf numFmtId="0" fontId="2" fillId="0" borderId="45" xfId="0" applyFont="1" applyBorder="1" applyAlignment="1">
      <alignment vertical="center" wrapText="1"/>
    </xf>
    <xf numFmtId="0" fontId="0" fillId="4" borderId="3" xfId="0" applyFill="1" applyBorder="1"/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Lunes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'Temperaturas en Quillota'!$A$2:$A$25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'Temperaturas en Quillota'!$B$2:$B$25</c:f>
              <c:numCache>
                <c:formatCode>General</c:formatCode>
                <c:ptCount val="24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15.3</c:v>
                </c:pt>
                <c:pt idx="4">
                  <c:v>14.7</c:v>
                </c:pt>
                <c:pt idx="5">
                  <c:v>13.4</c:v>
                </c:pt>
                <c:pt idx="6">
                  <c:v>13.2</c:v>
                </c:pt>
                <c:pt idx="7">
                  <c:v>11.9</c:v>
                </c:pt>
                <c:pt idx="8">
                  <c:v>11.3</c:v>
                </c:pt>
                <c:pt idx="9">
                  <c:v>11.4</c:v>
                </c:pt>
                <c:pt idx="10">
                  <c:v>10.9</c:v>
                </c:pt>
                <c:pt idx="11">
                  <c:v>14.9</c:v>
                </c:pt>
                <c:pt idx="12">
                  <c:v>15.9</c:v>
                </c:pt>
                <c:pt idx="13">
                  <c:v>17.2</c:v>
                </c:pt>
                <c:pt idx="14">
                  <c:v>19.600000000000001</c:v>
                </c:pt>
                <c:pt idx="15">
                  <c:v>22.3</c:v>
                </c:pt>
                <c:pt idx="16">
                  <c:v>24.5</c:v>
                </c:pt>
                <c:pt idx="17">
                  <c:v>25.5</c:v>
                </c:pt>
                <c:pt idx="18">
                  <c:v>26.2</c:v>
                </c:pt>
                <c:pt idx="19">
                  <c:v>26.1</c:v>
                </c:pt>
                <c:pt idx="20">
                  <c:v>25.7</c:v>
                </c:pt>
                <c:pt idx="21">
                  <c:v>25.6</c:v>
                </c:pt>
                <c:pt idx="22">
                  <c:v>23.9</c:v>
                </c:pt>
                <c:pt idx="23">
                  <c:v>22.9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A8-41A5-95CF-82E4DD8AB3D9}"/>
            </c:ext>
          </c:extLst>
        </c:ser>
        <c:ser>
          <c:idx val="1"/>
          <c:order val="1"/>
          <c:tx>
            <c:v>Martes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'Temperaturas en Quillota'!$A$26:$A$49</c:f>
              <c:numCache>
                <c:formatCode>General</c:formatCode>
                <c:ptCount val="24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  <c:pt idx="18">
                  <c:v>42</c:v>
                </c:pt>
                <c:pt idx="19">
                  <c:v>43</c:v>
                </c:pt>
                <c:pt idx="20">
                  <c:v>44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</c:numCache>
            </c:numRef>
          </c:xVal>
          <c:yVal>
            <c:numRef>
              <c:f>'Temperaturas en Quillota'!$B$26:$B$49</c:f>
              <c:numCache>
                <c:formatCode>General</c:formatCode>
                <c:ptCount val="24"/>
                <c:pt idx="0">
                  <c:v>20.2</c:v>
                </c:pt>
                <c:pt idx="1">
                  <c:v>18.100000000000001</c:v>
                </c:pt>
                <c:pt idx="2">
                  <c:v>18</c:v>
                </c:pt>
                <c:pt idx="3">
                  <c:v>16.2</c:v>
                </c:pt>
                <c:pt idx="4">
                  <c:v>14.4</c:v>
                </c:pt>
                <c:pt idx="5">
                  <c:v>13.4</c:v>
                </c:pt>
                <c:pt idx="6">
                  <c:v>12.2</c:v>
                </c:pt>
                <c:pt idx="7">
                  <c:v>11.2</c:v>
                </c:pt>
                <c:pt idx="8">
                  <c:v>10.4</c:v>
                </c:pt>
                <c:pt idx="9">
                  <c:v>10.8</c:v>
                </c:pt>
                <c:pt idx="10">
                  <c:v>9.8000000000000007</c:v>
                </c:pt>
                <c:pt idx="11">
                  <c:v>13.8</c:v>
                </c:pt>
                <c:pt idx="12">
                  <c:v>17.399999999999999</c:v>
                </c:pt>
                <c:pt idx="13">
                  <c:v>20.9</c:v>
                </c:pt>
                <c:pt idx="14">
                  <c:v>23.9</c:v>
                </c:pt>
                <c:pt idx="15">
                  <c:v>27.7</c:v>
                </c:pt>
                <c:pt idx="16">
                  <c:v>28.2</c:v>
                </c:pt>
                <c:pt idx="17">
                  <c:v>30</c:v>
                </c:pt>
                <c:pt idx="18">
                  <c:v>28.8</c:v>
                </c:pt>
                <c:pt idx="19">
                  <c:v>28.6</c:v>
                </c:pt>
                <c:pt idx="20">
                  <c:v>28.4</c:v>
                </c:pt>
                <c:pt idx="21">
                  <c:v>28.6</c:v>
                </c:pt>
                <c:pt idx="22">
                  <c:v>28.1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A8-41A5-95CF-82E4DD8AB3D9}"/>
            </c:ext>
          </c:extLst>
        </c:ser>
        <c:ser>
          <c:idx val="2"/>
          <c:order val="2"/>
          <c:tx>
            <c:v>Miercoles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'Temperaturas en Quillota'!$A$50:$A$73</c:f>
              <c:numCache>
                <c:formatCode>General</c:formatCode>
                <c:ptCount val="24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</c:numCache>
            </c:numRef>
          </c:xVal>
          <c:yVal>
            <c:numRef>
              <c:f>'Temperaturas en Quillota'!$B$50:$B$73</c:f>
              <c:numCache>
                <c:formatCode>General</c:formatCode>
                <c:ptCount val="24"/>
                <c:pt idx="0">
                  <c:v>21.5</c:v>
                </c:pt>
                <c:pt idx="1">
                  <c:v>18.399999999999999</c:v>
                </c:pt>
                <c:pt idx="2">
                  <c:v>17.100000000000001</c:v>
                </c:pt>
                <c:pt idx="3">
                  <c:v>15.9</c:v>
                </c:pt>
                <c:pt idx="4">
                  <c:v>14.7</c:v>
                </c:pt>
                <c:pt idx="5">
                  <c:v>13.8</c:v>
                </c:pt>
                <c:pt idx="6">
                  <c:v>12.6</c:v>
                </c:pt>
                <c:pt idx="7">
                  <c:v>12</c:v>
                </c:pt>
                <c:pt idx="8">
                  <c:v>11.1</c:v>
                </c:pt>
                <c:pt idx="9">
                  <c:v>10.7</c:v>
                </c:pt>
                <c:pt idx="10">
                  <c:v>10.3</c:v>
                </c:pt>
                <c:pt idx="11">
                  <c:v>14.2</c:v>
                </c:pt>
                <c:pt idx="12">
                  <c:v>18.399999999999999</c:v>
                </c:pt>
                <c:pt idx="13">
                  <c:v>20.100000000000001</c:v>
                </c:pt>
                <c:pt idx="14">
                  <c:v>21.2</c:v>
                </c:pt>
                <c:pt idx="15">
                  <c:v>22.9</c:v>
                </c:pt>
                <c:pt idx="16">
                  <c:v>24.1</c:v>
                </c:pt>
                <c:pt idx="17">
                  <c:v>24.4</c:v>
                </c:pt>
                <c:pt idx="18">
                  <c:v>24.8</c:v>
                </c:pt>
                <c:pt idx="19">
                  <c:v>24.6</c:v>
                </c:pt>
                <c:pt idx="20">
                  <c:v>24.2</c:v>
                </c:pt>
                <c:pt idx="21">
                  <c:v>23.4</c:v>
                </c:pt>
                <c:pt idx="22">
                  <c:v>23.7</c:v>
                </c:pt>
                <c:pt idx="23">
                  <c:v>22.1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3A8-41A5-95CF-82E4DD8AB3D9}"/>
            </c:ext>
          </c:extLst>
        </c:ser>
        <c:ser>
          <c:idx val="3"/>
          <c:order val="3"/>
          <c:tx>
            <c:v>Jueves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'Temperaturas en Quillota'!$A$74:$A$97</c:f>
              <c:numCache>
                <c:formatCode>General</c:formatCode>
                <c:ptCount val="24"/>
                <c:pt idx="0">
                  <c:v>72</c:v>
                </c:pt>
                <c:pt idx="1">
                  <c:v>73</c:v>
                </c:pt>
                <c:pt idx="2">
                  <c:v>74</c:v>
                </c:pt>
                <c:pt idx="3">
                  <c:v>75</c:v>
                </c:pt>
                <c:pt idx="4">
                  <c:v>76</c:v>
                </c:pt>
                <c:pt idx="5">
                  <c:v>77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  <c:pt idx="12">
                  <c:v>84</c:v>
                </c:pt>
                <c:pt idx="13">
                  <c:v>85</c:v>
                </c:pt>
                <c:pt idx="14">
                  <c:v>86</c:v>
                </c:pt>
                <c:pt idx="15">
                  <c:v>87</c:v>
                </c:pt>
                <c:pt idx="16">
                  <c:v>88</c:v>
                </c:pt>
                <c:pt idx="17">
                  <c:v>89</c:v>
                </c:pt>
                <c:pt idx="18">
                  <c:v>90</c:v>
                </c:pt>
                <c:pt idx="19">
                  <c:v>91</c:v>
                </c:pt>
                <c:pt idx="20">
                  <c:v>92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</c:numCache>
            </c:numRef>
          </c:xVal>
          <c:yVal>
            <c:numRef>
              <c:f>'Temperaturas en Quillota'!$B$74:$B$97</c:f>
              <c:numCache>
                <c:formatCode>General</c:formatCode>
                <c:ptCount val="24"/>
                <c:pt idx="0">
                  <c:v>19.8</c:v>
                </c:pt>
                <c:pt idx="1">
                  <c:v>17.899999999999999</c:v>
                </c:pt>
                <c:pt idx="2">
                  <c:v>16.8</c:v>
                </c:pt>
                <c:pt idx="3">
                  <c:v>15.6</c:v>
                </c:pt>
                <c:pt idx="4">
                  <c:v>15</c:v>
                </c:pt>
                <c:pt idx="5">
                  <c:v>13.7</c:v>
                </c:pt>
                <c:pt idx="6">
                  <c:v>12.5</c:v>
                </c:pt>
                <c:pt idx="7">
                  <c:v>12.2</c:v>
                </c:pt>
                <c:pt idx="8">
                  <c:v>12</c:v>
                </c:pt>
                <c:pt idx="9">
                  <c:v>10.7</c:v>
                </c:pt>
                <c:pt idx="10">
                  <c:v>10.6</c:v>
                </c:pt>
                <c:pt idx="11">
                  <c:v>12.8</c:v>
                </c:pt>
                <c:pt idx="12">
                  <c:v>17.600000000000001</c:v>
                </c:pt>
                <c:pt idx="13">
                  <c:v>19.7</c:v>
                </c:pt>
                <c:pt idx="14">
                  <c:v>22.7</c:v>
                </c:pt>
                <c:pt idx="15">
                  <c:v>25.4</c:v>
                </c:pt>
                <c:pt idx="16">
                  <c:v>27.1</c:v>
                </c:pt>
                <c:pt idx="17">
                  <c:v>28.6</c:v>
                </c:pt>
                <c:pt idx="18">
                  <c:v>31</c:v>
                </c:pt>
                <c:pt idx="19">
                  <c:v>30.5</c:v>
                </c:pt>
                <c:pt idx="20">
                  <c:v>30.2</c:v>
                </c:pt>
                <c:pt idx="21">
                  <c:v>29.4</c:v>
                </c:pt>
                <c:pt idx="22">
                  <c:v>27.6</c:v>
                </c:pt>
                <c:pt idx="23">
                  <c:v>24.9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A8-41A5-95CF-82E4DD8AB3D9}"/>
            </c:ext>
          </c:extLst>
        </c:ser>
        <c:ser>
          <c:idx val="4"/>
          <c:order val="4"/>
          <c:tx>
            <c:v>Viernes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'Temperaturas en Quillota'!$A$98:$A$121</c:f>
              <c:numCache>
                <c:formatCode>General</c:formatCode>
                <c:ptCount val="24"/>
                <c:pt idx="0">
                  <c:v>96</c:v>
                </c:pt>
                <c:pt idx="1">
                  <c:v>97</c:v>
                </c:pt>
                <c:pt idx="2">
                  <c:v>98</c:v>
                </c:pt>
                <c:pt idx="3">
                  <c:v>99</c:v>
                </c:pt>
                <c:pt idx="4">
                  <c:v>100</c:v>
                </c:pt>
                <c:pt idx="5">
                  <c:v>101</c:v>
                </c:pt>
                <c:pt idx="6">
                  <c:v>102</c:v>
                </c:pt>
                <c:pt idx="7">
                  <c:v>103</c:v>
                </c:pt>
                <c:pt idx="8">
                  <c:v>104</c:v>
                </c:pt>
                <c:pt idx="9">
                  <c:v>105</c:v>
                </c:pt>
                <c:pt idx="10">
                  <c:v>106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111</c:v>
                </c:pt>
                <c:pt idx="16">
                  <c:v>112</c:v>
                </c:pt>
                <c:pt idx="17">
                  <c:v>113</c:v>
                </c:pt>
                <c:pt idx="18">
                  <c:v>114</c:v>
                </c:pt>
                <c:pt idx="19">
                  <c:v>115</c:v>
                </c:pt>
                <c:pt idx="20">
                  <c:v>116</c:v>
                </c:pt>
                <c:pt idx="21">
                  <c:v>117</c:v>
                </c:pt>
                <c:pt idx="22">
                  <c:v>118</c:v>
                </c:pt>
                <c:pt idx="23">
                  <c:v>119</c:v>
                </c:pt>
              </c:numCache>
            </c:numRef>
          </c:xVal>
          <c:yVal>
            <c:numRef>
              <c:f>'Temperaturas en Quillota'!$B$98:$B$121</c:f>
              <c:numCache>
                <c:formatCode>General</c:formatCode>
                <c:ptCount val="24"/>
                <c:pt idx="0">
                  <c:v>21.7</c:v>
                </c:pt>
                <c:pt idx="1">
                  <c:v>19.600000000000001</c:v>
                </c:pt>
                <c:pt idx="2">
                  <c:v>17.899999999999999</c:v>
                </c:pt>
                <c:pt idx="3">
                  <c:v>16.7</c:v>
                </c:pt>
                <c:pt idx="4">
                  <c:v>15.1</c:v>
                </c:pt>
                <c:pt idx="5">
                  <c:v>14</c:v>
                </c:pt>
                <c:pt idx="6">
                  <c:v>12.7</c:v>
                </c:pt>
                <c:pt idx="7">
                  <c:v>12</c:v>
                </c:pt>
                <c:pt idx="8">
                  <c:v>11.4</c:v>
                </c:pt>
                <c:pt idx="9">
                  <c:v>10.6</c:v>
                </c:pt>
                <c:pt idx="10">
                  <c:v>10</c:v>
                </c:pt>
                <c:pt idx="11">
                  <c:v>14.1</c:v>
                </c:pt>
                <c:pt idx="12">
                  <c:v>18.600000000000001</c:v>
                </c:pt>
                <c:pt idx="13">
                  <c:v>21.2</c:v>
                </c:pt>
                <c:pt idx="14">
                  <c:v>24.3</c:v>
                </c:pt>
                <c:pt idx="15">
                  <c:v>27.7</c:v>
                </c:pt>
                <c:pt idx="16">
                  <c:v>27.5</c:v>
                </c:pt>
                <c:pt idx="17">
                  <c:v>28.6</c:v>
                </c:pt>
                <c:pt idx="18">
                  <c:v>30</c:v>
                </c:pt>
                <c:pt idx="19">
                  <c:v>30.4</c:v>
                </c:pt>
                <c:pt idx="20">
                  <c:v>31.1</c:v>
                </c:pt>
                <c:pt idx="21">
                  <c:v>30.6</c:v>
                </c:pt>
                <c:pt idx="22">
                  <c:v>29.4</c:v>
                </c:pt>
                <c:pt idx="23">
                  <c:v>25.5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3A8-41A5-95CF-82E4DD8AB3D9}"/>
            </c:ext>
          </c:extLst>
        </c:ser>
        <c:ser>
          <c:idx val="5"/>
          <c:order val="5"/>
          <c:tx>
            <c:v>Sábado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'Temperaturas en Quillota'!$A$122:$A$145</c:f>
              <c:numCache>
                <c:formatCode>General</c:formatCode>
                <c:ptCount val="24"/>
                <c:pt idx="0">
                  <c:v>120</c:v>
                </c:pt>
                <c:pt idx="1">
                  <c:v>121</c:v>
                </c:pt>
                <c:pt idx="2">
                  <c:v>122</c:v>
                </c:pt>
                <c:pt idx="3">
                  <c:v>123</c:v>
                </c:pt>
                <c:pt idx="4">
                  <c:v>124</c:v>
                </c:pt>
                <c:pt idx="5">
                  <c:v>125</c:v>
                </c:pt>
                <c:pt idx="6">
                  <c:v>126</c:v>
                </c:pt>
                <c:pt idx="7">
                  <c:v>127</c:v>
                </c:pt>
                <c:pt idx="8">
                  <c:v>128</c:v>
                </c:pt>
                <c:pt idx="9">
                  <c:v>129</c:v>
                </c:pt>
                <c:pt idx="10">
                  <c:v>130</c:v>
                </c:pt>
                <c:pt idx="11">
                  <c:v>131</c:v>
                </c:pt>
                <c:pt idx="12">
                  <c:v>132</c:v>
                </c:pt>
                <c:pt idx="13">
                  <c:v>133</c:v>
                </c:pt>
                <c:pt idx="14">
                  <c:v>134</c:v>
                </c:pt>
                <c:pt idx="15">
                  <c:v>135</c:v>
                </c:pt>
                <c:pt idx="16">
                  <c:v>136</c:v>
                </c:pt>
                <c:pt idx="17">
                  <c:v>137</c:v>
                </c:pt>
                <c:pt idx="18">
                  <c:v>138</c:v>
                </c:pt>
                <c:pt idx="19">
                  <c:v>139</c:v>
                </c:pt>
                <c:pt idx="20">
                  <c:v>140</c:v>
                </c:pt>
                <c:pt idx="21">
                  <c:v>141</c:v>
                </c:pt>
                <c:pt idx="22">
                  <c:v>142</c:v>
                </c:pt>
                <c:pt idx="23">
                  <c:v>143</c:v>
                </c:pt>
              </c:numCache>
            </c:numRef>
          </c:xVal>
          <c:yVal>
            <c:numRef>
              <c:f>'Temperaturas en Quillota'!$B$122:$B$145</c:f>
              <c:numCache>
                <c:formatCode>General</c:formatCode>
                <c:ptCount val="24"/>
                <c:pt idx="0">
                  <c:v>21.3</c:v>
                </c:pt>
                <c:pt idx="1">
                  <c:v>19.2</c:v>
                </c:pt>
                <c:pt idx="2">
                  <c:v>17.399999999999999</c:v>
                </c:pt>
                <c:pt idx="3">
                  <c:v>16.100000000000001</c:v>
                </c:pt>
                <c:pt idx="4">
                  <c:v>15.4</c:v>
                </c:pt>
                <c:pt idx="5">
                  <c:v>14.4</c:v>
                </c:pt>
                <c:pt idx="6">
                  <c:v>13.2</c:v>
                </c:pt>
                <c:pt idx="7">
                  <c:v>12.8</c:v>
                </c:pt>
                <c:pt idx="8">
                  <c:v>12.4</c:v>
                </c:pt>
                <c:pt idx="9">
                  <c:v>11.4</c:v>
                </c:pt>
                <c:pt idx="10">
                  <c:v>11.4</c:v>
                </c:pt>
                <c:pt idx="11">
                  <c:v>14</c:v>
                </c:pt>
                <c:pt idx="12">
                  <c:v>18.5</c:v>
                </c:pt>
                <c:pt idx="13">
                  <c:v>21.2</c:v>
                </c:pt>
                <c:pt idx="14">
                  <c:v>23.7</c:v>
                </c:pt>
                <c:pt idx="15">
                  <c:v>26.6</c:v>
                </c:pt>
                <c:pt idx="16">
                  <c:v>27.8</c:v>
                </c:pt>
                <c:pt idx="17">
                  <c:v>26.8</c:v>
                </c:pt>
                <c:pt idx="18">
                  <c:v>27.9</c:v>
                </c:pt>
                <c:pt idx="19">
                  <c:v>29.1</c:v>
                </c:pt>
                <c:pt idx="20">
                  <c:v>28.9</c:v>
                </c:pt>
                <c:pt idx="21">
                  <c:v>30.7</c:v>
                </c:pt>
                <c:pt idx="22">
                  <c:v>30</c:v>
                </c:pt>
                <c:pt idx="23">
                  <c:v>28.1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3A8-41A5-95CF-82E4DD8AB3D9}"/>
            </c:ext>
          </c:extLst>
        </c:ser>
        <c:ser>
          <c:idx val="6"/>
          <c:order val="6"/>
          <c:tx>
            <c:v>Domingo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'Temperaturas en Quillota'!$A$146:$A$169</c:f>
              <c:numCache>
                <c:formatCode>General</c:formatCode>
                <c:ptCount val="24"/>
                <c:pt idx="0">
                  <c:v>144</c:v>
                </c:pt>
                <c:pt idx="1">
                  <c:v>145</c:v>
                </c:pt>
                <c:pt idx="2">
                  <c:v>146</c:v>
                </c:pt>
                <c:pt idx="3">
                  <c:v>147</c:v>
                </c:pt>
                <c:pt idx="4">
                  <c:v>148</c:v>
                </c:pt>
                <c:pt idx="5">
                  <c:v>149</c:v>
                </c:pt>
                <c:pt idx="6">
                  <c:v>150</c:v>
                </c:pt>
                <c:pt idx="7">
                  <c:v>151</c:v>
                </c:pt>
                <c:pt idx="8">
                  <c:v>152</c:v>
                </c:pt>
                <c:pt idx="9">
                  <c:v>153</c:v>
                </c:pt>
                <c:pt idx="10">
                  <c:v>154</c:v>
                </c:pt>
                <c:pt idx="11">
                  <c:v>155</c:v>
                </c:pt>
                <c:pt idx="12">
                  <c:v>156</c:v>
                </c:pt>
                <c:pt idx="13">
                  <c:v>157</c:v>
                </c:pt>
                <c:pt idx="14">
                  <c:v>158</c:v>
                </c:pt>
                <c:pt idx="15">
                  <c:v>159</c:v>
                </c:pt>
                <c:pt idx="16">
                  <c:v>160</c:v>
                </c:pt>
                <c:pt idx="17">
                  <c:v>161</c:v>
                </c:pt>
                <c:pt idx="18">
                  <c:v>162</c:v>
                </c:pt>
                <c:pt idx="19">
                  <c:v>163</c:v>
                </c:pt>
                <c:pt idx="20">
                  <c:v>164</c:v>
                </c:pt>
                <c:pt idx="21">
                  <c:v>165</c:v>
                </c:pt>
                <c:pt idx="22">
                  <c:v>166</c:v>
                </c:pt>
                <c:pt idx="23">
                  <c:v>167</c:v>
                </c:pt>
              </c:numCache>
            </c:numRef>
          </c:xVal>
          <c:yVal>
            <c:numRef>
              <c:f>'Temperaturas en Quillota'!$B$146:$B$169</c:f>
              <c:numCache>
                <c:formatCode>General</c:formatCode>
                <c:ptCount val="24"/>
                <c:pt idx="0">
                  <c:v>23.9</c:v>
                </c:pt>
                <c:pt idx="1">
                  <c:v>20.9</c:v>
                </c:pt>
                <c:pt idx="2">
                  <c:v>18.8</c:v>
                </c:pt>
                <c:pt idx="3">
                  <c:v>18.399999999999999</c:v>
                </c:pt>
                <c:pt idx="4">
                  <c:v>16.2</c:v>
                </c:pt>
                <c:pt idx="5">
                  <c:v>15.3</c:v>
                </c:pt>
                <c:pt idx="6">
                  <c:v>14.3</c:v>
                </c:pt>
                <c:pt idx="7">
                  <c:v>13.3</c:v>
                </c:pt>
                <c:pt idx="8">
                  <c:v>12.9</c:v>
                </c:pt>
                <c:pt idx="9">
                  <c:v>12.2</c:v>
                </c:pt>
                <c:pt idx="10">
                  <c:v>11.5</c:v>
                </c:pt>
                <c:pt idx="11">
                  <c:v>13.2</c:v>
                </c:pt>
                <c:pt idx="12">
                  <c:v>17.100000000000001</c:v>
                </c:pt>
                <c:pt idx="13">
                  <c:v>19.899999999999999</c:v>
                </c:pt>
                <c:pt idx="14">
                  <c:v>22.9</c:v>
                </c:pt>
                <c:pt idx="15">
                  <c:v>24.9</c:v>
                </c:pt>
                <c:pt idx="16">
                  <c:v>26</c:v>
                </c:pt>
                <c:pt idx="17">
                  <c:v>26.7</c:v>
                </c:pt>
                <c:pt idx="18">
                  <c:v>27.6</c:v>
                </c:pt>
                <c:pt idx="19">
                  <c:v>26.5</c:v>
                </c:pt>
                <c:pt idx="20">
                  <c:v>26</c:v>
                </c:pt>
                <c:pt idx="21">
                  <c:v>25.2</c:v>
                </c:pt>
                <c:pt idx="22">
                  <c:v>23.4</c:v>
                </c:pt>
                <c:pt idx="23">
                  <c:v>21.4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3A8-41A5-95CF-82E4DD8AB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028975"/>
        <c:axId val="1582031375"/>
      </c:scatterChart>
      <c:valAx>
        <c:axId val="1582028975"/>
        <c:scaling>
          <c:orientation val="minMax"/>
          <c:max val="16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Hora de la semana [hr]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82031375"/>
        <c:crosses val="autoZero"/>
        <c:crossBetween val="midCat"/>
      </c:valAx>
      <c:valAx>
        <c:axId val="158203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Temperatura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8202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Lunes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'Temperaturas en Quillota'!$A$2:$A$25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'Temperaturas en Quillota'!$C$2:$C$25</c:f>
              <c:numCache>
                <c:formatCode>General</c:formatCode>
                <c:ptCount val="24"/>
                <c:pt idx="0">
                  <c:v>79</c:v>
                </c:pt>
                <c:pt idx="1">
                  <c:v>83</c:v>
                </c:pt>
                <c:pt idx="2">
                  <c:v>86</c:v>
                </c:pt>
                <c:pt idx="3">
                  <c:v>89</c:v>
                </c:pt>
                <c:pt idx="4">
                  <c:v>87</c:v>
                </c:pt>
                <c:pt idx="5">
                  <c:v>91</c:v>
                </c:pt>
                <c:pt idx="6">
                  <c:v>90</c:v>
                </c:pt>
                <c:pt idx="7">
                  <c:v>93</c:v>
                </c:pt>
                <c:pt idx="8">
                  <c:v>94</c:v>
                </c:pt>
                <c:pt idx="9">
                  <c:v>94</c:v>
                </c:pt>
                <c:pt idx="10">
                  <c:v>94</c:v>
                </c:pt>
                <c:pt idx="11">
                  <c:v>94</c:v>
                </c:pt>
                <c:pt idx="12">
                  <c:v>83</c:v>
                </c:pt>
                <c:pt idx="13">
                  <c:v>80</c:v>
                </c:pt>
                <c:pt idx="14">
                  <c:v>72</c:v>
                </c:pt>
                <c:pt idx="15">
                  <c:v>62</c:v>
                </c:pt>
                <c:pt idx="16">
                  <c:v>55</c:v>
                </c:pt>
                <c:pt idx="17">
                  <c:v>52</c:v>
                </c:pt>
                <c:pt idx="18">
                  <c:v>51</c:v>
                </c:pt>
                <c:pt idx="19">
                  <c:v>50</c:v>
                </c:pt>
                <c:pt idx="20">
                  <c:v>52</c:v>
                </c:pt>
                <c:pt idx="21">
                  <c:v>49</c:v>
                </c:pt>
                <c:pt idx="22">
                  <c:v>51</c:v>
                </c:pt>
                <c:pt idx="23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43-49E5-ACA5-DC80C77490BE}"/>
            </c:ext>
          </c:extLst>
        </c:ser>
        <c:ser>
          <c:idx val="1"/>
          <c:order val="1"/>
          <c:tx>
            <c:v>Martes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'Temperaturas en Quillota'!$A$26:$A$49</c:f>
              <c:numCache>
                <c:formatCode>General</c:formatCode>
                <c:ptCount val="24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  <c:pt idx="18">
                  <c:v>42</c:v>
                </c:pt>
                <c:pt idx="19">
                  <c:v>43</c:v>
                </c:pt>
                <c:pt idx="20">
                  <c:v>44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</c:numCache>
            </c:numRef>
          </c:xVal>
          <c:yVal>
            <c:numRef>
              <c:f>'Temperaturas en Quillota'!$C$26:$C$49</c:f>
              <c:numCache>
                <c:formatCode>General</c:formatCode>
                <c:ptCount val="24"/>
                <c:pt idx="0">
                  <c:v>66</c:v>
                </c:pt>
                <c:pt idx="1">
                  <c:v>74</c:v>
                </c:pt>
                <c:pt idx="2">
                  <c:v>69</c:v>
                </c:pt>
                <c:pt idx="3">
                  <c:v>75</c:v>
                </c:pt>
                <c:pt idx="4">
                  <c:v>80</c:v>
                </c:pt>
                <c:pt idx="5">
                  <c:v>83</c:v>
                </c:pt>
                <c:pt idx="6">
                  <c:v>88</c:v>
                </c:pt>
                <c:pt idx="7">
                  <c:v>89</c:v>
                </c:pt>
                <c:pt idx="8">
                  <c:v>91</c:v>
                </c:pt>
                <c:pt idx="9">
                  <c:v>86</c:v>
                </c:pt>
                <c:pt idx="10">
                  <c:v>92</c:v>
                </c:pt>
                <c:pt idx="11">
                  <c:v>81</c:v>
                </c:pt>
                <c:pt idx="12">
                  <c:v>69</c:v>
                </c:pt>
                <c:pt idx="13">
                  <c:v>58</c:v>
                </c:pt>
                <c:pt idx="14">
                  <c:v>50</c:v>
                </c:pt>
                <c:pt idx="15">
                  <c:v>40</c:v>
                </c:pt>
                <c:pt idx="16">
                  <c:v>46</c:v>
                </c:pt>
                <c:pt idx="17">
                  <c:v>41</c:v>
                </c:pt>
                <c:pt idx="18">
                  <c:v>43</c:v>
                </c:pt>
                <c:pt idx="19">
                  <c:v>42</c:v>
                </c:pt>
                <c:pt idx="20">
                  <c:v>40</c:v>
                </c:pt>
                <c:pt idx="21">
                  <c:v>35</c:v>
                </c:pt>
                <c:pt idx="22">
                  <c:v>37</c:v>
                </c:pt>
                <c:pt idx="23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43-49E5-ACA5-DC80C77490BE}"/>
            </c:ext>
          </c:extLst>
        </c:ser>
        <c:ser>
          <c:idx val="2"/>
          <c:order val="2"/>
          <c:tx>
            <c:v>Miercoles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'Temperaturas en Quillota'!$A$50:$A$73</c:f>
              <c:numCache>
                <c:formatCode>General</c:formatCode>
                <c:ptCount val="24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</c:numCache>
            </c:numRef>
          </c:xVal>
          <c:yVal>
            <c:numRef>
              <c:f>'Temperaturas en Quillota'!$C$50:$C$73</c:f>
              <c:numCache>
                <c:formatCode>General</c:formatCode>
                <c:ptCount val="24"/>
                <c:pt idx="0">
                  <c:v>54</c:v>
                </c:pt>
                <c:pt idx="1">
                  <c:v>67</c:v>
                </c:pt>
                <c:pt idx="2">
                  <c:v>75</c:v>
                </c:pt>
                <c:pt idx="3">
                  <c:v>80</c:v>
                </c:pt>
                <c:pt idx="4">
                  <c:v>82</c:v>
                </c:pt>
                <c:pt idx="5">
                  <c:v>84</c:v>
                </c:pt>
                <c:pt idx="6">
                  <c:v>86</c:v>
                </c:pt>
                <c:pt idx="7">
                  <c:v>87</c:v>
                </c:pt>
                <c:pt idx="8">
                  <c:v>92</c:v>
                </c:pt>
                <c:pt idx="9">
                  <c:v>92</c:v>
                </c:pt>
                <c:pt idx="10">
                  <c:v>92</c:v>
                </c:pt>
                <c:pt idx="11">
                  <c:v>78</c:v>
                </c:pt>
                <c:pt idx="12">
                  <c:v>70</c:v>
                </c:pt>
                <c:pt idx="13">
                  <c:v>65</c:v>
                </c:pt>
                <c:pt idx="14">
                  <c:v>60</c:v>
                </c:pt>
                <c:pt idx="15">
                  <c:v>54</c:v>
                </c:pt>
                <c:pt idx="16">
                  <c:v>49</c:v>
                </c:pt>
                <c:pt idx="17">
                  <c:v>49</c:v>
                </c:pt>
                <c:pt idx="18">
                  <c:v>47</c:v>
                </c:pt>
                <c:pt idx="19">
                  <c:v>48</c:v>
                </c:pt>
                <c:pt idx="20">
                  <c:v>46</c:v>
                </c:pt>
                <c:pt idx="21">
                  <c:v>49</c:v>
                </c:pt>
                <c:pt idx="22">
                  <c:v>46</c:v>
                </c:pt>
                <c:pt idx="23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43-49E5-ACA5-DC80C77490BE}"/>
            </c:ext>
          </c:extLst>
        </c:ser>
        <c:ser>
          <c:idx val="3"/>
          <c:order val="3"/>
          <c:tx>
            <c:v>Jueves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'Temperaturas en Quillota'!$A$74:$A$97</c:f>
              <c:numCache>
                <c:formatCode>General</c:formatCode>
                <c:ptCount val="24"/>
                <c:pt idx="0">
                  <c:v>72</c:v>
                </c:pt>
                <c:pt idx="1">
                  <c:v>73</c:v>
                </c:pt>
                <c:pt idx="2">
                  <c:v>74</c:v>
                </c:pt>
                <c:pt idx="3">
                  <c:v>75</c:v>
                </c:pt>
                <c:pt idx="4">
                  <c:v>76</c:v>
                </c:pt>
                <c:pt idx="5">
                  <c:v>77</c:v>
                </c:pt>
                <c:pt idx="6">
                  <c:v>78</c:v>
                </c:pt>
                <c:pt idx="7">
                  <c:v>79</c:v>
                </c:pt>
                <c:pt idx="8">
                  <c:v>80</c:v>
                </c:pt>
                <c:pt idx="9">
                  <c:v>81</c:v>
                </c:pt>
                <c:pt idx="10">
                  <c:v>82</c:v>
                </c:pt>
                <c:pt idx="11">
                  <c:v>83</c:v>
                </c:pt>
                <c:pt idx="12">
                  <c:v>84</c:v>
                </c:pt>
                <c:pt idx="13">
                  <c:v>85</c:v>
                </c:pt>
                <c:pt idx="14">
                  <c:v>86</c:v>
                </c:pt>
                <c:pt idx="15">
                  <c:v>87</c:v>
                </c:pt>
                <c:pt idx="16">
                  <c:v>88</c:v>
                </c:pt>
                <c:pt idx="17">
                  <c:v>89</c:v>
                </c:pt>
                <c:pt idx="18">
                  <c:v>90</c:v>
                </c:pt>
                <c:pt idx="19">
                  <c:v>91</c:v>
                </c:pt>
                <c:pt idx="20">
                  <c:v>92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</c:numCache>
            </c:numRef>
          </c:xVal>
          <c:yVal>
            <c:numRef>
              <c:f>'Temperaturas en Quillota'!$C$74:$C$97</c:f>
              <c:numCache>
                <c:formatCode>General</c:formatCode>
                <c:ptCount val="24"/>
                <c:pt idx="0">
                  <c:v>59</c:v>
                </c:pt>
                <c:pt idx="1">
                  <c:v>66</c:v>
                </c:pt>
                <c:pt idx="2">
                  <c:v>68</c:v>
                </c:pt>
                <c:pt idx="3">
                  <c:v>76</c:v>
                </c:pt>
                <c:pt idx="4">
                  <c:v>79</c:v>
                </c:pt>
                <c:pt idx="5">
                  <c:v>83</c:v>
                </c:pt>
                <c:pt idx="6">
                  <c:v>85</c:v>
                </c:pt>
                <c:pt idx="7">
                  <c:v>85</c:v>
                </c:pt>
                <c:pt idx="8">
                  <c:v>87</c:v>
                </c:pt>
                <c:pt idx="9">
                  <c:v>91</c:v>
                </c:pt>
                <c:pt idx="10">
                  <c:v>91</c:v>
                </c:pt>
                <c:pt idx="11">
                  <c:v>86</c:v>
                </c:pt>
                <c:pt idx="12">
                  <c:v>67</c:v>
                </c:pt>
                <c:pt idx="13">
                  <c:v>60</c:v>
                </c:pt>
                <c:pt idx="14">
                  <c:v>53</c:v>
                </c:pt>
                <c:pt idx="15">
                  <c:v>44</c:v>
                </c:pt>
                <c:pt idx="16">
                  <c:v>38</c:v>
                </c:pt>
                <c:pt idx="17">
                  <c:v>36</c:v>
                </c:pt>
                <c:pt idx="18">
                  <c:v>33</c:v>
                </c:pt>
                <c:pt idx="19">
                  <c:v>33</c:v>
                </c:pt>
                <c:pt idx="20">
                  <c:v>35</c:v>
                </c:pt>
                <c:pt idx="21">
                  <c:v>36</c:v>
                </c:pt>
                <c:pt idx="22">
                  <c:v>38</c:v>
                </c:pt>
                <c:pt idx="23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43-49E5-ACA5-DC80C77490BE}"/>
            </c:ext>
          </c:extLst>
        </c:ser>
        <c:ser>
          <c:idx val="4"/>
          <c:order val="4"/>
          <c:tx>
            <c:v>Viernes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'Temperaturas en Quillota'!$A$98:$A$121</c:f>
              <c:numCache>
                <c:formatCode>General</c:formatCode>
                <c:ptCount val="24"/>
                <c:pt idx="0">
                  <c:v>96</c:v>
                </c:pt>
                <c:pt idx="1">
                  <c:v>97</c:v>
                </c:pt>
                <c:pt idx="2">
                  <c:v>98</c:v>
                </c:pt>
                <c:pt idx="3">
                  <c:v>99</c:v>
                </c:pt>
                <c:pt idx="4">
                  <c:v>100</c:v>
                </c:pt>
                <c:pt idx="5">
                  <c:v>101</c:v>
                </c:pt>
                <c:pt idx="6">
                  <c:v>102</c:v>
                </c:pt>
                <c:pt idx="7">
                  <c:v>103</c:v>
                </c:pt>
                <c:pt idx="8">
                  <c:v>104</c:v>
                </c:pt>
                <c:pt idx="9">
                  <c:v>105</c:v>
                </c:pt>
                <c:pt idx="10">
                  <c:v>106</c:v>
                </c:pt>
                <c:pt idx="11">
                  <c:v>107</c:v>
                </c:pt>
                <c:pt idx="12">
                  <c:v>108</c:v>
                </c:pt>
                <c:pt idx="13">
                  <c:v>109</c:v>
                </c:pt>
                <c:pt idx="14">
                  <c:v>110</c:v>
                </c:pt>
                <c:pt idx="15">
                  <c:v>111</c:v>
                </c:pt>
                <c:pt idx="16">
                  <c:v>112</c:v>
                </c:pt>
                <c:pt idx="17">
                  <c:v>113</c:v>
                </c:pt>
                <c:pt idx="18">
                  <c:v>114</c:v>
                </c:pt>
                <c:pt idx="19">
                  <c:v>115</c:v>
                </c:pt>
                <c:pt idx="20">
                  <c:v>116</c:v>
                </c:pt>
                <c:pt idx="21">
                  <c:v>117</c:v>
                </c:pt>
                <c:pt idx="22">
                  <c:v>118</c:v>
                </c:pt>
                <c:pt idx="23">
                  <c:v>119</c:v>
                </c:pt>
              </c:numCache>
            </c:numRef>
          </c:xVal>
          <c:yVal>
            <c:numRef>
              <c:f>'Temperaturas en Quillota'!$C$98:$C$121</c:f>
              <c:numCache>
                <c:formatCode>General</c:formatCode>
                <c:ptCount val="24"/>
                <c:pt idx="0">
                  <c:v>48</c:v>
                </c:pt>
                <c:pt idx="1">
                  <c:v>52</c:v>
                </c:pt>
                <c:pt idx="2">
                  <c:v>56</c:v>
                </c:pt>
                <c:pt idx="3">
                  <c:v>61</c:v>
                </c:pt>
                <c:pt idx="4">
                  <c:v>66</c:v>
                </c:pt>
                <c:pt idx="5">
                  <c:v>70</c:v>
                </c:pt>
                <c:pt idx="6">
                  <c:v>77</c:v>
                </c:pt>
                <c:pt idx="7">
                  <c:v>76</c:v>
                </c:pt>
                <c:pt idx="8">
                  <c:v>82</c:v>
                </c:pt>
                <c:pt idx="9">
                  <c:v>85</c:v>
                </c:pt>
                <c:pt idx="10">
                  <c:v>85</c:v>
                </c:pt>
                <c:pt idx="11">
                  <c:v>72</c:v>
                </c:pt>
                <c:pt idx="12">
                  <c:v>55</c:v>
                </c:pt>
                <c:pt idx="13">
                  <c:v>49</c:v>
                </c:pt>
                <c:pt idx="14">
                  <c:v>43</c:v>
                </c:pt>
                <c:pt idx="15">
                  <c:v>37</c:v>
                </c:pt>
                <c:pt idx="16">
                  <c:v>40</c:v>
                </c:pt>
                <c:pt idx="17">
                  <c:v>38</c:v>
                </c:pt>
                <c:pt idx="18">
                  <c:v>34</c:v>
                </c:pt>
                <c:pt idx="19">
                  <c:v>31</c:v>
                </c:pt>
                <c:pt idx="20">
                  <c:v>28</c:v>
                </c:pt>
                <c:pt idx="21">
                  <c:v>29</c:v>
                </c:pt>
                <c:pt idx="22">
                  <c:v>31</c:v>
                </c:pt>
                <c:pt idx="23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43-49E5-ACA5-DC80C77490BE}"/>
            </c:ext>
          </c:extLst>
        </c:ser>
        <c:ser>
          <c:idx val="5"/>
          <c:order val="5"/>
          <c:tx>
            <c:v>Sábado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'Temperaturas en Quillota'!$A$122:$A$145</c:f>
              <c:numCache>
                <c:formatCode>General</c:formatCode>
                <c:ptCount val="24"/>
                <c:pt idx="0">
                  <c:v>120</c:v>
                </c:pt>
                <c:pt idx="1">
                  <c:v>121</c:v>
                </c:pt>
                <c:pt idx="2">
                  <c:v>122</c:v>
                </c:pt>
                <c:pt idx="3">
                  <c:v>123</c:v>
                </c:pt>
                <c:pt idx="4">
                  <c:v>124</c:v>
                </c:pt>
                <c:pt idx="5">
                  <c:v>125</c:v>
                </c:pt>
                <c:pt idx="6">
                  <c:v>126</c:v>
                </c:pt>
                <c:pt idx="7">
                  <c:v>127</c:v>
                </c:pt>
                <c:pt idx="8">
                  <c:v>128</c:v>
                </c:pt>
                <c:pt idx="9">
                  <c:v>129</c:v>
                </c:pt>
                <c:pt idx="10">
                  <c:v>130</c:v>
                </c:pt>
                <c:pt idx="11">
                  <c:v>131</c:v>
                </c:pt>
                <c:pt idx="12">
                  <c:v>132</c:v>
                </c:pt>
                <c:pt idx="13">
                  <c:v>133</c:v>
                </c:pt>
                <c:pt idx="14">
                  <c:v>134</c:v>
                </c:pt>
                <c:pt idx="15">
                  <c:v>135</c:v>
                </c:pt>
                <c:pt idx="16">
                  <c:v>136</c:v>
                </c:pt>
                <c:pt idx="17">
                  <c:v>137</c:v>
                </c:pt>
                <c:pt idx="18">
                  <c:v>138</c:v>
                </c:pt>
                <c:pt idx="19">
                  <c:v>139</c:v>
                </c:pt>
                <c:pt idx="20">
                  <c:v>140</c:v>
                </c:pt>
                <c:pt idx="21">
                  <c:v>141</c:v>
                </c:pt>
                <c:pt idx="22">
                  <c:v>142</c:v>
                </c:pt>
                <c:pt idx="23">
                  <c:v>143</c:v>
                </c:pt>
              </c:numCache>
            </c:numRef>
          </c:xVal>
          <c:yVal>
            <c:numRef>
              <c:f>'Temperaturas en Quillota'!$C$122:$C$145</c:f>
              <c:numCache>
                <c:formatCode>General</c:formatCode>
                <c:ptCount val="24"/>
                <c:pt idx="0">
                  <c:v>51</c:v>
                </c:pt>
                <c:pt idx="1">
                  <c:v>58</c:v>
                </c:pt>
                <c:pt idx="2">
                  <c:v>67</c:v>
                </c:pt>
                <c:pt idx="3">
                  <c:v>74</c:v>
                </c:pt>
                <c:pt idx="4">
                  <c:v>83</c:v>
                </c:pt>
                <c:pt idx="5">
                  <c:v>87</c:v>
                </c:pt>
                <c:pt idx="6">
                  <c:v>89</c:v>
                </c:pt>
                <c:pt idx="7">
                  <c:v>87</c:v>
                </c:pt>
                <c:pt idx="8">
                  <c:v>90</c:v>
                </c:pt>
                <c:pt idx="9">
                  <c:v>91</c:v>
                </c:pt>
                <c:pt idx="10">
                  <c:v>89</c:v>
                </c:pt>
                <c:pt idx="11">
                  <c:v>77</c:v>
                </c:pt>
                <c:pt idx="12">
                  <c:v>65</c:v>
                </c:pt>
                <c:pt idx="13">
                  <c:v>53</c:v>
                </c:pt>
                <c:pt idx="14">
                  <c:v>44</c:v>
                </c:pt>
                <c:pt idx="15">
                  <c:v>42</c:v>
                </c:pt>
                <c:pt idx="16">
                  <c:v>41</c:v>
                </c:pt>
                <c:pt idx="17">
                  <c:v>44</c:v>
                </c:pt>
                <c:pt idx="18">
                  <c:v>40</c:v>
                </c:pt>
                <c:pt idx="19">
                  <c:v>38</c:v>
                </c:pt>
                <c:pt idx="20">
                  <c:v>38</c:v>
                </c:pt>
                <c:pt idx="21">
                  <c:v>33</c:v>
                </c:pt>
                <c:pt idx="22">
                  <c:v>34</c:v>
                </c:pt>
                <c:pt idx="23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43-49E5-ACA5-DC80C77490BE}"/>
            </c:ext>
          </c:extLst>
        </c:ser>
        <c:ser>
          <c:idx val="6"/>
          <c:order val="6"/>
          <c:tx>
            <c:v>Domingo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'Temperaturas en Quillota'!$A$146:$A$169</c:f>
              <c:numCache>
                <c:formatCode>General</c:formatCode>
                <c:ptCount val="24"/>
                <c:pt idx="0">
                  <c:v>144</c:v>
                </c:pt>
                <c:pt idx="1">
                  <c:v>145</c:v>
                </c:pt>
                <c:pt idx="2">
                  <c:v>146</c:v>
                </c:pt>
                <c:pt idx="3">
                  <c:v>147</c:v>
                </c:pt>
                <c:pt idx="4">
                  <c:v>148</c:v>
                </c:pt>
                <c:pt idx="5">
                  <c:v>149</c:v>
                </c:pt>
                <c:pt idx="6">
                  <c:v>150</c:v>
                </c:pt>
                <c:pt idx="7">
                  <c:v>151</c:v>
                </c:pt>
                <c:pt idx="8">
                  <c:v>152</c:v>
                </c:pt>
                <c:pt idx="9">
                  <c:v>153</c:v>
                </c:pt>
                <c:pt idx="10">
                  <c:v>154</c:v>
                </c:pt>
                <c:pt idx="11">
                  <c:v>155</c:v>
                </c:pt>
                <c:pt idx="12">
                  <c:v>156</c:v>
                </c:pt>
                <c:pt idx="13">
                  <c:v>157</c:v>
                </c:pt>
                <c:pt idx="14">
                  <c:v>158</c:v>
                </c:pt>
                <c:pt idx="15">
                  <c:v>159</c:v>
                </c:pt>
                <c:pt idx="16">
                  <c:v>160</c:v>
                </c:pt>
                <c:pt idx="17">
                  <c:v>161</c:v>
                </c:pt>
                <c:pt idx="18">
                  <c:v>162</c:v>
                </c:pt>
                <c:pt idx="19">
                  <c:v>163</c:v>
                </c:pt>
                <c:pt idx="20">
                  <c:v>164</c:v>
                </c:pt>
                <c:pt idx="21">
                  <c:v>165</c:v>
                </c:pt>
                <c:pt idx="22">
                  <c:v>166</c:v>
                </c:pt>
                <c:pt idx="23">
                  <c:v>167</c:v>
                </c:pt>
              </c:numCache>
            </c:numRef>
          </c:xVal>
          <c:yVal>
            <c:numRef>
              <c:f>'Temperaturas en Quillota'!$C$146:$C$169</c:f>
              <c:numCache>
                <c:formatCode>General</c:formatCode>
                <c:ptCount val="24"/>
                <c:pt idx="0">
                  <c:v>49</c:v>
                </c:pt>
                <c:pt idx="1">
                  <c:v>59</c:v>
                </c:pt>
                <c:pt idx="2">
                  <c:v>66</c:v>
                </c:pt>
                <c:pt idx="3">
                  <c:v>68</c:v>
                </c:pt>
                <c:pt idx="4">
                  <c:v>76</c:v>
                </c:pt>
                <c:pt idx="5">
                  <c:v>78</c:v>
                </c:pt>
                <c:pt idx="6">
                  <c:v>82</c:v>
                </c:pt>
                <c:pt idx="7">
                  <c:v>87</c:v>
                </c:pt>
                <c:pt idx="8">
                  <c:v>85</c:v>
                </c:pt>
                <c:pt idx="9">
                  <c:v>89</c:v>
                </c:pt>
                <c:pt idx="10">
                  <c:v>91</c:v>
                </c:pt>
                <c:pt idx="11">
                  <c:v>88</c:v>
                </c:pt>
                <c:pt idx="12">
                  <c:v>74</c:v>
                </c:pt>
                <c:pt idx="13">
                  <c:v>64</c:v>
                </c:pt>
                <c:pt idx="14">
                  <c:v>56</c:v>
                </c:pt>
                <c:pt idx="15">
                  <c:v>50</c:v>
                </c:pt>
                <c:pt idx="16">
                  <c:v>49</c:v>
                </c:pt>
                <c:pt idx="17">
                  <c:v>47</c:v>
                </c:pt>
                <c:pt idx="18">
                  <c:v>46</c:v>
                </c:pt>
                <c:pt idx="19">
                  <c:v>49</c:v>
                </c:pt>
                <c:pt idx="20">
                  <c:v>50</c:v>
                </c:pt>
                <c:pt idx="21">
                  <c:v>53</c:v>
                </c:pt>
                <c:pt idx="22">
                  <c:v>59</c:v>
                </c:pt>
                <c:pt idx="23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243-49E5-ACA5-DC80C7749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028975"/>
        <c:axId val="1582031375"/>
      </c:scatterChart>
      <c:valAx>
        <c:axId val="1582028975"/>
        <c:scaling>
          <c:orientation val="minMax"/>
          <c:max val="16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Hora de la semana [hr]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82031375"/>
        <c:crosses val="autoZero"/>
        <c:crossBetween val="midCat"/>
      </c:valAx>
      <c:valAx>
        <c:axId val="158203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 Humedad</a:t>
                </a:r>
                <a:r>
                  <a:rPr lang="es-CL" baseline="0"/>
                  <a:t> %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8202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596264</xdr:colOff>
      <xdr:row>5</xdr:row>
      <xdr:rowOff>16192</xdr:rowOff>
    </xdr:from>
    <xdr:to>
      <xdr:col>15</xdr:col>
      <xdr:colOff>601980</xdr:colOff>
      <xdr:row>19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54BBB6-00A5-4AA1-C7A1-1CC4941F7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628650</xdr:colOff>
      <xdr:row>21</xdr:row>
      <xdr:rowOff>9525</xdr:rowOff>
    </xdr:from>
    <xdr:to>
      <xdr:col>15</xdr:col>
      <xdr:colOff>634366</xdr:colOff>
      <xdr:row>35</xdr:row>
      <xdr:rowOff>160973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CBB1478-525F-42B8-86E6-9BE3751ED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106005</xdr:colOff>
      <xdr:row>9</xdr:row>
      <xdr:rowOff>155381</xdr:rowOff>
    </xdr:from>
    <xdr:to>
      <xdr:col>20</xdr:col>
      <xdr:colOff>744108</xdr:colOff>
      <xdr:row>33</xdr:row>
      <xdr:rowOff>125358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C9672D-AEFF-F483-FFA6-B1B054862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65657" y="1845033"/>
          <a:ext cx="6126711" cy="4475716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22861</xdr:colOff>
      <xdr:row>42</xdr:row>
      <xdr:rowOff>38100</xdr:rowOff>
    </xdr:from>
    <xdr:to>
      <xdr:col>19</xdr:col>
      <xdr:colOff>22865</xdr:colOff>
      <xdr:row>45</xdr:row>
      <xdr:rowOff>139248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970340D-1483-1E5C-404F-DA0F56AFC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0341" y="7696200"/>
          <a:ext cx="4503420" cy="64119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29</xdr:col>
      <xdr:colOff>844714</xdr:colOff>
      <xdr:row>0</xdr:row>
      <xdr:rowOff>0</xdr:rowOff>
    </xdr:from>
    <xdr:to>
      <xdr:col>39</xdr:col>
      <xdr:colOff>282827</xdr:colOff>
      <xdr:row>19</xdr:row>
      <xdr:rowOff>168938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6750B2D-72A7-B305-54F0-BBDA4ED8A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61861" y="0"/>
          <a:ext cx="8178701" cy="3631556"/>
        </a:xfrm>
        <a:prstGeom prst="rect">
          <a:avLst/>
        </a:prstGeom>
      </xdr:spPr>
    </xdr:pic>
    <xdr:clientData/>
  </xdr:twoCellAnchor>
  <xdr:twoCellAnchor editAs="oneCell">
    <xdr:from>
      <xdr:col>29</xdr:col>
      <xdr:colOff>970951</xdr:colOff>
      <xdr:row>20</xdr:row>
      <xdr:rowOff>2794</xdr:rowOff>
    </xdr:from>
    <xdr:to>
      <xdr:col>39</xdr:col>
      <xdr:colOff>248969</xdr:colOff>
      <xdr:row>46</xdr:row>
      <xdr:rowOff>49866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7890822-4F4A-C8AB-28EA-298973F27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588098" y="3644706"/>
          <a:ext cx="8018606" cy="4899219"/>
        </a:xfrm>
        <a:prstGeom prst="rect">
          <a:avLst/>
        </a:prstGeom>
      </xdr:spPr>
    </xdr:pic>
    <xdr:clientData/>
  </xdr:twoCellAnchor>
  <xdr:twoCellAnchor editAs="oneCell">
    <xdr:from>
      <xdr:col>29</xdr:col>
      <xdr:colOff>825695</xdr:colOff>
      <xdr:row>46</xdr:row>
      <xdr:rowOff>77284</xdr:rowOff>
    </xdr:from>
    <xdr:to>
      <xdr:col>39</xdr:col>
      <xdr:colOff>391650</xdr:colOff>
      <xdr:row>51</xdr:row>
      <xdr:rowOff>153835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01B1DD4-CBF6-6EC5-A419-5331D7526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42842" y="8571343"/>
          <a:ext cx="8306543" cy="2048786"/>
        </a:xfrm>
        <a:prstGeom prst="rect">
          <a:avLst/>
        </a:prstGeom>
      </xdr:spPr>
    </xdr:pic>
    <xdr:clientData/>
  </xdr:twoCellAnchor>
  <xdr:twoCellAnchor editAs="oneCell">
    <xdr:from>
      <xdr:col>21</xdr:col>
      <xdr:colOff>429892</xdr:colOff>
      <xdr:row>13</xdr:row>
      <xdr:rowOff>69444</xdr:rowOff>
    </xdr:from>
    <xdr:to>
      <xdr:col>29</xdr:col>
      <xdr:colOff>806017</xdr:colOff>
      <xdr:row>24</xdr:row>
      <xdr:rowOff>88532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FA928A1-44B7-1FB7-D23D-AD0F255DC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35686" y="2433885"/>
          <a:ext cx="8287478" cy="2047353"/>
        </a:xfrm>
        <a:prstGeom prst="rect">
          <a:avLst/>
        </a:prstGeom>
      </xdr:spPr>
    </xdr:pic>
    <xdr:clientData/>
  </xdr:twoCellAnchor>
  <xdr:twoCellAnchor editAs="oneCell">
    <xdr:from>
      <xdr:col>21</xdr:col>
      <xdr:colOff>478452</xdr:colOff>
      <xdr:row>0</xdr:row>
      <xdr:rowOff>45483</xdr:rowOff>
    </xdr:from>
    <xdr:to>
      <xdr:col>29</xdr:col>
      <xdr:colOff>744096</xdr:colOff>
      <xdr:row>12</xdr:row>
      <xdr:rowOff>161977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411161C-B59A-74D8-61E6-FC3EBE945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84246" y="45483"/>
          <a:ext cx="8176997" cy="2301641"/>
        </a:xfrm>
        <a:prstGeom prst="rect">
          <a:avLst/>
        </a:prstGeom>
      </xdr:spPr>
    </xdr:pic>
    <xdr:clientData/>
  </xdr:twoCellAnchor>
  <xdr:twoCellAnchor editAs="oneCell">
    <xdr:from>
      <xdr:col>21</xdr:col>
      <xdr:colOff>439770</xdr:colOff>
      <xdr:row>24</xdr:row>
      <xdr:rowOff>118124</xdr:rowOff>
    </xdr:from>
    <xdr:to>
      <xdr:col>29</xdr:col>
      <xdr:colOff>638290</xdr:colOff>
      <xdr:row>35</xdr:row>
      <xdr:rowOff>177664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CE9FBF7-EF9B-ACEC-68DF-D4B239911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45564" y="4510830"/>
          <a:ext cx="8109873" cy="2065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1810-DD10-47A5-8A2F-ED8DCEEFE5A5}">
  <dimension ref="A1:T170"/>
  <sheetViews>
    <sheetView tabSelected="1" topLeftCell="A102" workbookViewId="0">
      <selection activeCell="B118" sqref="B118"/>
    </sheetView>
  </sheetViews>
  <sheetFormatPr baseColWidth="10" defaultRowHeight="15" x14ac:dyDescent="0.25"/>
  <cols>
    <col min="3" max="3" width="13" bestFit="1" customWidth="1"/>
  </cols>
  <sheetData>
    <row r="1" spans="1:14" x14ac:dyDescent="0.25">
      <c r="A1" s="2" t="s">
        <v>0</v>
      </c>
      <c r="B1" s="2" t="s">
        <v>1</v>
      </c>
      <c r="C1" s="2" t="s">
        <v>12</v>
      </c>
      <c r="D1" s="2" t="s">
        <v>2</v>
      </c>
      <c r="E1" s="2" t="s">
        <v>3</v>
      </c>
      <c r="F1" s="1"/>
      <c r="G1" s="116" t="s">
        <v>11</v>
      </c>
      <c r="H1" s="116"/>
      <c r="I1" s="116"/>
      <c r="J1" s="116"/>
      <c r="K1" s="116"/>
      <c r="L1" s="116"/>
      <c r="M1" s="116"/>
      <c r="N1" s="116"/>
    </row>
    <row r="2" spans="1:14" x14ac:dyDescent="0.25">
      <c r="A2" s="2">
        <v>0</v>
      </c>
      <c r="B2" s="3">
        <v>18</v>
      </c>
      <c r="C2" s="3">
        <v>79</v>
      </c>
      <c r="D2" s="4">
        <v>0</v>
      </c>
      <c r="E2" s="117" t="s">
        <v>4</v>
      </c>
      <c r="F2" s="1" t="s">
        <v>34</v>
      </c>
      <c r="G2" s="1">
        <f>MAX(B2:B169)</f>
        <v>31.1</v>
      </c>
      <c r="H2" s="1"/>
    </row>
    <row r="3" spans="1:14" x14ac:dyDescent="0.25">
      <c r="A3" s="2">
        <v>1</v>
      </c>
      <c r="B3" s="3">
        <v>17</v>
      </c>
      <c r="C3" s="3">
        <v>83</v>
      </c>
      <c r="D3" s="4">
        <v>4.1666666666666699E-2</v>
      </c>
      <c r="E3" s="118"/>
      <c r="F3" s="1" t="s">
        <v>35</v>
      </c>
      <c r="G3" s="1">
        <f>AVERAGE(B2:B169)</f>
        <v>19.860119047619047</v>
      </c>
      <c r="H3" s="1"/>
      <c r="I3" s="122" t="s">
        <v>105</v>
      </c>
      <c r="J3" s="122"/>
      <c r="K3" s="122"/>
      <c r="L3" s="122"/>
      <c r="M3" s="122"/>
      <c r="N3" s="122"/>
    </row>
    <row r="4" spans="1:14" x14ac:dyDescent="0.25">
      <c r="A4" s="2">
        <v>2</v>
      </c>
      <c r="B4" s="3">
        <v>16</v>
      </c>
      <c r="C4" s="3">
        <v>86</v>
      </c>
      <c r="D4" s="4">
        <v>8.3333333333333301E-2</v>
      </c>
      <c r="E4" s="118"/>
      <c r="F4" s="1"/>
      <c r="G4" s="1"/>
      <c r="H4" s="1"/>
      <c r="I4" s="122"/>
      <c r="J4" s="122"/>
      <c r="K4" s="122"/>
      <c r="L4" s="122"/>
      <c r="M4" s="122"/>
      <c r="N4" s="122"/>
    </row>
    <row r="5" spans="1:14" x14ac:dyDescent="0.25">
      <c r="A5" s="2">
        <v>3</v>
      </c>
      <c r="B5" s="3">
        <v>15.3</v>
      </c>
      <c r="C5" s="3">
        <v>89</v>
      </c>
      <c r="D5" s="4">
        <v>0.125</v>
      </c>
      <c r="E5" s="118"/>
      <c r="F5" s="1"/>
      <c r="G5" s="1"/>
      <c r="H5" s="1"/>
    </row>
    <row r="6" spans="1:14" x14ac:dyDescent="0.25">
      <c r="A6" s="2">
        <v>4</v>
      </c>
      <c r="B6" s="3">
        <v>14.7</v>
      </c>
      <c r="C6" s="3">
        <v>87</v>
      </c>
      <c r="D6" s="4">
        <v>0.16666666666666699</v>
      </c>
      <c r="E6" s="118"/>
      <c r="F6" s="1"/>
      <c r="G6" s="1"/>
      <c r="H6" s="1"/>
    </row>
    <row r="7" spans="1:14" x14ac:dyDescent="0.25">
      <c r="A7" s="2">
        <v>5</v>
      </c>
      <c r="B7" s="3">
        <v>13.4</v>
      </c>
      <c r="C7" s="3">
        <v>91</v>
      </c>
      <c r="D7" s="4">
        <v>0.20833333333333301</v>
      </c>
      <c r="E7" s="118"/>
      <c r="F7" s="1"/>
      <c r="G7" s="1"/>
      <c r="H7" s="1"/>
    </row>
    <row r="8" spans="1:14" x14ac:dyDescent="0.25">
      <c r="A8" s="2">
        <v>6</v>
      </c>
      <c r="B8" s="3">
        <v>13.2</v>
      </c>
      <c r="C8" s="3">
        <v>90</v>
      </c>
      <c r="D8" s="4">
        <v>0.25</v>
      </c>
      <c r="E8" s="118"/>
      <c r="F8" s="1"/>
      <c r="G8" s="1"/>
      <c r="H8" s="1"/>
    </row>
    <row r="9" spans="1:14" x14ac:dyDescent="0.25">
      <c r="A9" s="2">
        <v>7</v>
      </c>
      <c r="B9" s="3">
        <v>11.9</v>
      </c>
      <c r="C9" s="3">
        <v>93</v>
      </c>
      <c r="D9" s="4">
        <v>0.29166666666666702</v>
      </c>
      <c r="E9" s="118"/>
      <c r="F9" s="1"/>
      <c r="G9" s="1"/>
      <c r="H9" s="1"/>
    </row>
    <row r="10" spans="1:14" x14ac:dyDescent="0.25">
      <c r="A10" s="2">
        <v>8</v>
      </c>
      <c r="B10" s="3">
        <v>11.3</v>
      </c>
      <c r="C10" s="3">
        <v>94</v>
      </c>
      <c r="D10" s="4">
        <v>0.33333333333333298</v>
      </c>
      <c r="E10" s="118"/>
      <c r="F10" s="1"/>
      <c r="G10" s="1"/>
      <c r="H10" s="1"/>
    </row>
    <row r="11" spans="1:14" x14ac:dyDescent="0.25">
      <c r="A11" s="2">
        <v>9</v>
      </c>
      <c r="B11" s="3">
        <v>11.4</v>
      </c>
      <c r="C11" s="3">
        <v>94</v>
      </c>
      <c r="D11" s="4">
        <v>0.375</v>
      </c>
      <c r="E11" s="118"/>
      <c r="F11" s="1"/>
      <c r="G11" s="1"/>
      <c r="H11" s="1"/>
    </row>
    <row r="12" spans="1:14" x14ac:dyDescent="0.25">
      <c r="A12" s="2">
        <v>10</v>
      </c>
      <c r="B12" s="3">
        <v>10.9</v>
      </c>
      <c r="C12" s="3">
        <v>94</v>
      </c>
      <c r="D12" s="4">
        <v>0.41666666666666702</v>
      </c>
      <c r="E12" s="118"/>
      <c r="F12" s="1"/>
      <c r="G12" s="1"/>
      <c r="H12" s="1"/>
    </row>
    <row r="13" spans="1:14" x14ac:dyDescent="0.25">
      <c r="A13" s="2">
        <v>11</v>
      </c>
      <c r="B13" s="3">
        <v>14.9</v>
      </c>
      <c r="C13" s="3">
        <v>94</v>
      </c>
      <c r="D13" s="4">
        <v>0.45833333333333298</v>
      </c>
      <c r="E13" s="118"/>
      <c r="F13" s="1"/>
      <c r="G13" s="1"/>
      <c r="H13" s="1"/>
    </row>
    <row r="14" spans="1:14" x14ac:dyDescent="0.25">
      <c r="A14" s="2">
        <v>12</v>
      </c>
      <c r="B14" s="3">
        <v>15.9</v>
      </c>
      <c r="C14" s="3">
        <v>83</v>
      </c>
      <c r="D14" s="4">
        <v>0.5</v>
      </c>
      <c r="E14" s="118"/>
      <c r="F14" s="1"/>
      <c r="G14" s="1"/>
      <c r="H14" s="1"/>
    </row>
    <row r="15" spans="1:14" x14ac:dyDescent="0.25">
      <c r="A15" s="2">
        <v>13</v>
      </c>
      <c r="B15" s="3">
        <v>17.2</v>
      </c>
      <c r="C15" s="3">
        <v>80</v>
      </c>
      <c r="D15" s="4">
        <v>0.54166666666666696</v>
      </c>
      <c r="E15" s="118"/>
      <c r="F15" s="1"/>
      <c r="G15" s="1"/>
      <c r="H15" s="1"/>
    </row>
    <row r="16" spans="1:14" x14ac:dyDescent="0.25">
      <c r="A16" s="2">
        <v>14</v>
      </c>
      <c r="B16" s="3">
        <v>19.600000000000001</v>
      </c>
      <c r="C16" s="3">
        <v>72</v>
      </c>
      <c r="D16" s="4">
        <v>0.58333333333333304</v>
      </c>
      <c r="E16" s="118"/>
      <c r="F16" s="1"/>
      <c r="G16" s="1"/>
      <c r="H16" s="1"/>
    </row>
    <row r="17" spans="1:20" x14ac:dyDescent="0.25">
      <c r="A17" s="2">
        <v>15</v>
      </c>
      <c r="B17" s="3">
        <v>22.3</v>
      </c>
      <c r="C17" s="3">
        <v>62</v>
      </c>
      <c r="D17" s="4">
        <v>0.625</v>
      </c>
      <c r="E17" s="118"/>
      <c r="F17" s="1"/>
      <c r="G17" s="1"/>
      <c r="H17" s="1"/>
    </row>
    <row r="18" spans="1:20" x14ac:dyDescent="0.25">
      <c r="A18" s="2">
        <v>16</v>
      </c>
      <c r="B18" s="3">
        <v>24.5</v>
      </c>
      <c r="C18" s="3">
        <v>55</v>
      </c>
      <c r="D18" s="4">
        <v>0.66666666666666696</v>
      </c>
      <c r="E18" s="118"/>
      <c r="F18" s="1"/>
      <c r="G18" s="1"/>
      <c r="H18" s="1"/>
      <c r="T18" t="s">
        <v>106</v>
      </c>
    </row>
    <row r="19" spans="1:20" x14ac:dyDescent="0.25">
      <c r="A19" s="2">
        <v>17</v>
      </c>
      <c r="B19" s="3">
        <v>25.5</v>
      </c>
      <c r="C19" s="3">
        <v>52</v>
      </c>
      <c r="D19" s="4">
        <v>0.70833333333333304</v>
      </c>
      <c r="E19" s="118"/>
      <c r="F19" s="1"/>
      <c r="G19" s="1"/>
      <c r="H19" s="1"/>
    </row>
    <row r="20" spans="1:20" x14ac:dyDescent="0.25">
      <c r="A20" s="2">
        <v>18</v>
      </c>
      <c r="B20" s="3">
        <v>26.2</v>
      </c>
      <c r="C20" s="3">
        <v>51</v>
      </c>
      <c r="D20" s="4">
        <v>0.75</v>
      </c>
      <c r="E20" s="118"/>
      <c r="F20" s="1"/>
      <c r="G20" s="1"/>
      <c r="H20" s="1"/>
    </row>
    <row r="21" spans="1:20" x14ac:dyDescent="0.25">
      <c r="A21" s="2">
        <v>19</v>
      </c>
      <c r="B21" s="3">
        <v>26.1</v>
      </c>
      <c r="C21" s="3">
        <v>50</v>
      </c>
      <c r="D21" s="4">
        <v>0.79166666666666696</v>
      </c>
      <c r="E21" s="118"/>
      <c r="F21" s="1"/>
      <c r="G21" s="1"/>
      <c r="H21" s="1"/>
    </row>
    <row r="22" spans="1:20" x14ac:dyDescent="0.25">
      <c r="A22" s="2">
        <v>20</v>
      </c>
      <c r="B22" s="3">
        <v>25.7</v>
      </c>
      <c r="C22" s="3">
        <v>52</v>
      </c>
      <c r="D22" s="4">
        <v>0.83333333333333304</v>
      </c>
      <c r="E22" s="118"/>
      <c r="F22" s="1"/>
      <c r="G22" s="1"/>
      <c r="H22" s="1"/>
    </row>
    <row r="23" spans="1:20" x14ac:dyDescent="0.25">
      <c r="A23" s="2">
        <v>21</v>
      </c>
      <c r="B23" s="3">
        <v>25.6</v>
      </c>
      <c r="C23" s="3">
        <v>49</v>
      </c>
      <c r="D23" s="4">
        <v>0.875</v>
      </c>
      <c r="E23" s="118"/>
      <c r="F23" s="1"/>
      <c r="G23" s="1"/>
      <c r="H23" s="1"/>
    </row>
    <row r="24" spans="1:20" x14ac:dyDescent="0.25">
      <c r="A24" s="2">
        <v>22</v>
      </c>
      <c r="B24" s="3">
        <v>23.9</v>
      </c>
      <c r="C24" s="3">
        <v>51</v>
      </c>
      <c r="D24" s="4">
        <v>0.91666666666666696</v>
      </c>
      <c r="E24" s="118"/>
      <c r="F24" s="1"/>
    </row>
    <row r="25" spans="1:20" x14ac:dyDescent="0.25">
      <c r="A25" s="2">
        <v>23</v>
      </c>
      <c r="B25" s="3">
        <v>22.9</v>
      </c>
      <c r="C25" s="3">
        <v>58</v>
      </c>
      <c r="D25" s="4">
        <v>0.95833333333333304</v>
      </c>
      <c r="E25" s="118"/>
      <c r="F25" s="1"/>
    </row>
    <row r="26" spans="1:20" x14ac:dyDescent="0.25">
      <c r="A26" s="2">
        <v>24</v>
      </c>
      <c r="B26" s="6">
        <v>20.2</v>
      </c>
      <c r="C26" s="6">
        <v>66</v>
      </c>
      <c r="D26" s="5">
        <v>0</v>
      </c>
      <c r="E26" s="119" t="s">
        <v>5</v>
      </c>
      <c r="F26" s="1"/>
    </row>
    <row r="27" spans="1:20" x14ac:dyDescent="0.25">
      <c r="A27" s="2">
        <v>25</v>
      </c>
      <c r="B27" s="6">
        <v>18.100000000000001</v>
      </c>
      <c r="C27" s="6">
        <v>74</v>
      </c>
      <c r="D27" s="5">
        <v>4.1666666666666699E-2</v>
      </c>
      <c r="E27" s="120"/>
      <c r="F27" s="1"/>
    </row>
    <row r="28" spans="1:20" x14ac:dyDescent="0.25">
      <c r="A28" s="2">
        <v>26</v>
      </c>
      <c r="B28" s="6">
        <v>18</v>
      </c>
      <c r="C28" s="6">
        <v>69</v>
      </c>
      <c r="D28" s="5">
        <v>8.3333333333333301E-2</v>
      </c>
      <c r="E28" s="120"/>
      <c r="F28" s="1"/>
    </row>
    <row r="29" spans="1:20" x14ac:dyDescent="0.25">
      <c r="A29" s="2">
        <v>27</v>
      </c>
      <c r="B29" s="6">
        <v>16.2</v>
      </c>
      <c r="C29" s="6">
        <v>75</v>
      </c>
      <c r="D29" s="5">
        <v>0.125</v>
      </c>
      <c r="E29" s="120"/>
      <c r="F29" s="1"/>
    </row>
    <row r="30" spans="1:20" x14ac:dyDescent="0.25">
      <c r="A30" s="2">
        <v>28</v>
      </c>
      <c r="B30" s="6">
        <v>14.4</v>
      </c>
      <c r="C30" s="6">
        <v>80</v>
      </c>
      <c r="D30" s="5">
        <v>0.16666666666666699</v>
      </c>
      <c r="E30" s="120"/>
      <c r="F30" s="1"/>
    </row>
    <row r="31" spans="1:20" x14ac:dyDescent="0.25">
      <c r="A31" s="2">
        <v>29</v>
      </c>
      <c r="B31" s="6">
        <v>13.4</v>
      </c>
      <c r="C31" s="6">
        <v>83</v>
      </c>
      <c r="D31" s="5">
        <v>0.20833333333333301</v>
      </c>
      <c r="E31" s="120"/>
      <c r="F31" s="1"/>
    </row>
    <row r="32" spans="1:20" x14ac:dyDescent="0.25">
      <c r="A32" s="2">
        <v>30</v>
      </c>
      <c r="B32" s="6">
        <v>12.2</v>
      </c>
      <c r="C32" s="6">
        <v>88</v>
      </c>
      <c r="D32" s="5">
        <v>0.25</v>
      </c>
      <c r="E32" s="120"/>
      <c r="F32" s="1"/>
    </row>
    <row r="33" spans="1:6" x14ac:dyDescent="0.25">
      <c r="A33" s="2">
        <v>31</v>
      </c>
      <c r="B33" s="6">
        <v>11.2</v>
      </c>
      <c r="C33" s="6">
        <v>89</v>
      </c>
      <c r="D33" s="5">
        <v>0.29166666666666702</v>
      </c>
      <c r="E33" s="120"/>
      <c r="F33" s="1"/>
    </row>
    <row r="34" spans="1:6" x14ac:dyDescent="0.25">
      <c r="A34" s="2">
        <v>32</v>
      </c>
      <c r="B34" s="6">
        <v>10.4</v>
      </c>
      <c r="C34" s="6">
        <v>91</v>
      </c>
      <c r="D34" s="5">
        <v>0.33333333333333298</v>
      </c>
      <c r="E34" s="120"/>
      <c r="F34" s="1"/>
    </row>
    <row r="35" spans="1:6" x14ac:dyDescent="0.25">
      <c r="A35" s="2">
        <v>33</v>
      </c>
      <c r="B35" s="6">
        <v>10.8</v>
      </c>
      <c r="C35" s="6">
        <v>86</v>
      </c>
      <c r="D35" s="5">
        <v>0.375</v>
      </c>
      <c r="E35" s="120"/>
      <c r="F35" s="1"/>
    </row>
    <row r="36" spans="1:6" x14ac:dyDescent="0.25">
      <c r="A36" s="2">
        <v>34</v>
      </c>
      <c r="B36" s="6">
        <v>9.8000000000000007</v>
      </c>
      <c r="C36" s="6">
        <v>92</v>
      </c>
      <c r="D36" s="5">
        <v>0.41666666666666702</v>
      </c>
      <c r="E36" s="120"/>
      <c r="F36" s="1"/>
    </row>
    <row r="37" spans="1:6" x14ac:dyDescent="0.25">
      <c r="A37" s="2">
        <v>35</v>
      </c>
      <c r="B37" s="6">
        <v>13.8</v>
      </c>
      <c r="C37" s="6">
        <v>81</v>
      </c>
      <c r="D37" s="5">
        <v>0.45833333333333298</v>
      </c>
      <c r="E37" s="120"/>
      <c r="F37" s="1"/>
    </row>
    <row r="38" spans="1:6" x14ac:dyDescent="0.25">
      <c r="A38" s="2">
        <v>36</v>
      </c>
      <c r="B38" s="6">
        <v>17.399999999999999</v>
      </c>
      <c r="C38" s="6">
        <v>69</v>
      </c>
      <c r="D38" s="5">
        <v>0.5</v>
      </c>
      <c r="E38" s="120"/>
      <c r="F38" s="1"/>
    </row>
    <row r="39" spans="1:6" x14ac:dyDescent="0.25">
      <c r="A39" s="2">
        <v>37</v>
      </c>
      <c r="B39" s="6">
        <v>20.9</v>
      </c>
      <c r="C39" s="6">
        <v>58</v>
      </c>
      <c r="D39" s="5">
        <v>0.54166666666666696</v>
      </c>
      <c r="E39" s="120"/>
      <c r="F39" s="1"/>
    </row>
    <row r="40" spans="1:6" x14ac:dyDescent="0.25">
      <c r="A40" s="2">
        <v>38</v>
      </c>
      <c r="B40" s="6">
        <v>23.9</v>
      </c>
      <c r="C40" s="6">
        <v>50</v>
      </c>
      <c r="D40" s="5">
        <v>0.58333333333333304</v>
      </c>
      <c r="E40" s="120"/>
      <c r="F40" s="1"/>
    </row>
    <row r="41" spans="1:6" x14ac:dyDescent="0.25">
      <c r="A41" s="2">
        <v>39</v>
      </c>
      <c r="B41" s="6">
        <v>27.7</v>
      </c>
      <c r="C41" s="6">
        <v>40</v>
      </c>
      <c r="D41" s="5">
        <v>0.625</v>
      </c>
      <c r="E41" s="120"/>
      <c r="F41" s="1"/>
    </row>
    <row r="42" spans="1:6" x14ac:dyDescent="0.25">
      <c r="A42" s="2">
        <v>40</v>
      </c>
      <c r="B42" s="6">
        <v>28.2</v>
      </c>
      <c r="C42" s="6">
        <v>46</v>
      </c>
      <c r="D42" s="5">
        <v>0.66666666666666696</v>
      </c>
      <c r="E42" s="120"/>
      <c r="F42" s="1"/>
    </row>
    <row r="43" spans="1:6" x14ac:dyDescent="0.25">
      <c r="A43" s="2">
        <v>41</v>
      </c>
      <c r="B43" s="6">
        <v>30</v>
      </c>
      <c r="C43" s="6">
        <v>41</v>
      </c>
      <c r="D43" s="5">
        <v>0.70833333333333304</v>
      </c>
      <c r="E43" s="120"/>
      <c r="F43" s="1"/>
    </row>
    <row r="44" spans="1:6" x14ac:dyDescent="0.25">
      <c r="A44" s="2">
        <v>42</v>
      </c>
      <c r="B44" s="6">
        <v>28.8</v>
      </c>
      <c r="C44" s="6">
        <v>43</v>
      </c>
      <c r="D44" s="5">
        <v>0.75</v>
      </c>
      <c r="E44" s="120"/>
      <c r="F44" s="1"/>
    </row>
    <row r="45" spans="1:6" x14ac:dyDescent="0.25">
      <c r="A45" s="2">
        <v>43</v>
      </c>
      <c r="B45" s="6">
        <v>28.6</v>
      </c>
      <c r="C45" s="6">
        <v>42</v>
      </c>
      <c r="D45" s="5">
        <v>0.79166666666666696</v>
      </c>
      <c r="E45" s="120"/>
      <c r="F45" s="1"/>
    </row>
    <row r="46" spans="1:6" x14ac:dyDescent="0.25">
      <c r="A46" s="2">
        <v>44</v>
      </c>
      <c r="B46" s="6">
        <v>28.4</v>
      </c>
      <c r="C46" s="6">
        <v>40</v>
      </c>
      <c r="D46" s="5">
        <v>0.83333333333333304</v>
      </c>
      <c r="E46" s="120"/>
      <c r="F46" s="1"/>
    </row>
    <row r="47" spans="1:6" x14ac:dyDescent="0.25">
      <c r="A47" s="2">
        <v>45</v>
      </c>
      <c r="B47" s="6">
        <v>28.6</v>
      </c>
      <c r="C47" s="6">
        <v>35</v>
      </c>
      <c r="D47" s="5">
        <v>0.875</v>
      </c>
      <c r="E47" s="120"/>
      <c r="F47" s="1"/>
    </row>
    <row r="48" spans="1:6" x14ac:dyDescent="0.25">
      <c r="A48" s="2">
        <v>46</v>
      </c>
      <c r="B48" s="6">
        <v>28.1</v>
      </c>
      <c r="C48" s="6">
        <v>37</v>
      </c>
      <c r="D48" s="5">
        <v>0.91666666666666696</v>
      </c>
      <c r="E48" s="120"/>
      <c r="F48" s="1"/>
    </row>
    <row r="49" spans="1:6" x14ac:dyDescent="0.25">
      <c r="A49" s="2">
        <v>47</v>
      </c>
      <c r="B49" s="6">
        <v>26</v>
      </c>
      <c r="C49" s="6">
        <v>40</v>
      </c>
      <c r="D49" s="5">
        <v>0.95833333333333304</v>
      </c>
      <c r="E49" s="121"/>
      <c r="F49" s="1"/>
    </row>
    <row r="50" spans="1:6" x14ac:dyDescent="0.25">
      <c r="A50" s="2">
        <v>48</v>
      </c>
      <c r="B50" s="3">
        <v>21.5</v>
      </c>
      <c r="C50" s="3">
        <v>54</v>
      </c>
      <c r="D50" s="4">
        <v>0</v>
      </c>
      <c r="E50" s="113" t="s">
        <v>6</v>
      </c>
      <c r="F50" s="1"/>
    </row>
    <row r="51" spans="1:6" x14ac:dyDescent="0.25">
      <c r="A51" s="2">
        <v>49</v>
      </c>
      <c r="B51" s="3">
        <v>18.399999999999999</v>
      </c>
      <c r="C51" s="3">
        <v>67</v>
      </c>
      <c r="D51" s="4">
        <v>4.1666666666666699E-2</v>
      </c>
      <c r="E51" s="114"/>
      <c r="F51" s="1"/>
    </row>
    <row r="52" spans="1:6" x14ac:dyDescent="0.25">
      <c r="A52" s="2">
        <v>50</v>
      </c>
      <c r="B52" s="3">
        <v>17.100000000000001</v>
      </c>
      <c r="C52" s="3">
        <v>75</v>
      </c>
      <c r="D52" s="4">
        <v>8.3333333333333301E-2</v>
      </c>
      <c r="E52" s="114"/>
      <c r="F52" s="1"/>
    </row>
    <row r="53" spans="1:6" x14ac:dyDescent="0.25">
      <c r="A53" s="2">
        <v>51</v>
      </c>
      <c r="B53" s="3">
        <v>15.9</v>
      </c>
      <c r="C53" s="3">
        <v>80</v>
      </c>
      <c r="D53" s="4">
        <v>0.125</v>
      </c>
      <c r="E53" s="114"/>
      <c r="F53" s="1"/>
    </row>
    <row r="54" spans="1:6" x14ac:dyDescent="0.25">
      <c r="A54" s="2">
        <v>52</v>
      </c>
      <c r="B54" s="3">
        <v>14.7</v>
      </c>
      <c r="C54" s="3">
        <v>82</v>
      </c>
      <c r="D54" s="4">
        <v>0.16666666666666699</v>
      </c>
      <c r="E54" s="114"/>
      <c r="F54" s="1"/>
    </row>
    <row r="55" spans="1:6" x14ac:dyDescent="0.25">
      <c r="A55" s="2">
        <v>53</v>
      </c>
      <c r="B55" s="3">
        <v>13.8</v>
      </c>
      <c r="C55" s="3">
        <v>84</v>
      </c>
      <c r="D55" s="4">
        <v>0.20833333333333301</v>
      </c>
      <c r="E55" s="114"/>
      <c r="F55" s="1"/>
    </row>
    <row r="56" spans="1:6" x14ac:dyDescent="0.25">
      <c r="A56" s="2">
        <v>54</v>
      </c>
      <c r="B56" s="3">
        <v>12.6</v>
      </c>
      <c r="C56" s="3">
        <v>86</v>
      </c>
      <c r="D56" s="4">
        <v>0.25</v>
      </c>
      <c r="E56" s="114"/>
      <c r="F56" s="1"/>
    </row>
    <row r="57" spans="1:6" x14ac:dyDescent="0.25">
      <c r="A57" s="2">
        <v>55</v>
      </c>
      <c r="B57" s="3">
        <v>12</v>
      </c>
      <c r="C57" s="3">
        <v>87</v>
      </c>
      <c r="D57" s="4">
        <v>0.29166666666666702</v>
      </c>
      <c r="E57" s="114"/>
      <c r="F57" s="1"/>
    </row>
    <row r="58" spans="1:6" x14ac:dyDescent="0.25">
      <c r="A58" s="2">
        <v>56</v>
      </c>
      <c r="B58" s="3">
        <v>11.1</v>
      </c>
      <c r="C58" s="3">
        <v>92</v>
      </c>
      <c r="D58" s="4">
        <v>0.33333333333333298</v>
      </c>
      <c r="E58" s="114"/>
      <c r="F58" s="1"/>
    </row>
    <row r="59" spans="1:6" x14ac:dyDescent="0.25">
      <c r="A59" s="2">
        <v>57</v>
      </c>
      <c r="B59" s="3">
        <v>10.7</v>
      </c>
      <c r="C59" s="3">
        <v>92</v>
      </c>
      <c r="D59" s="4">
        <v>0.375</v>
      </c>
      <c r="E59" s="114"/>
      <c r="F59" s="1"/>
    </row>
    <row r="60" spans="1:6" x14ac:dyDescent="0.25">
      <c r="A60" s="2">
        <v>58</v>
      </c>
      <c r="B60" s="3">
        <v>10.3</v>
      </c>
      <c r="C60" s="3">
        <v>92</v>
      </c>
      <c r="D60" s="4">
        <v>0.41666666666666702</v>
      </c>
      <c r="E60" s="114"/>
      <c r="F60" s="1"/>
    </row>
    <row r="61" spans="1:6" x14ac:dyDescent="0.25">
      <c r="A61" s="2">
        <v>59</v>
      </c>
      <c r="B61" s="3">
        <v>14.2</v>
      </c>
      <c r="C61" s="3">
        <v>78</v>
      </c>
      <c r="D61" s="4">
        <v>0.45833333333333298</v>
      </c>
      <c r="E61" s="114"/>
      <c r="F61" s="1"/>
    </row>
    <row r="62" spans="1:6" x14ac:dyDescent="0.25">
      <c r="A62" s="2">
        <v>60</v>
      </c>
      <c r="B62" s="3">
        <v>18.399999999999999</v>
      </c>
      <c r="C62" s="3">
        <v>70</v>
      </c>
      <c r="D62" s="4">
        <v>0.5</v>
      </c>
      <c r="E62" s="114"/>
      <c r="F62" s="1"/>
    </row>
    <row r="63" spans="1:6" x14ac:dyDescent="0.25">
      <c r="A63" s="2">
        <v>61</v>
      </c>
      <c r="B63" s="3">
        <v>20.100000000000001</v>
      </c>
      <c r="C63" s="3">
        <v>65</v>
      </c>
      <c r="D63" s="4">
        <v>0.54166666666666696</v>
      </c>
      <c r="E63" s="114"/>
      <c r="F63" s="1"/>
    </row>
    <row r="64" spans="1:6" x14ac:dyDescent="0.25">
      <c r="A64" s="2">
        <v>62</v>
      </c>
      <c r="B64" s="3">
        <v>21.2</v>
      </c>
      <c r="C64" s="3">
        <v>60</v>
      </c>
      <c r="D64" s="4">
        <v>0.58333333333333304</v>
      </c>
      <c r="E64" s="114"/>
      <c r="F64" s="1"/>
    </row>
    <row r="65" spans="1:6" x14ac:dyDescent="0.25">
      <c r="A65" s="2">
        <v>63</v>
      </c>
      <c r="B65" s="3">
        <v>22.9</v>
      </c>
      <c r="C65" s="3">
        <v>54</v>
      </c>
      <c r="D65" s="4">
        <v>0.625</v>
      </c>
      <c r="E65" s="114"/>
      <c r="F65" s="1"/>
    </row>
    <row r="66" spans="1:6" x14ac:dyDescent="0.25">
      <c r="A66" s="2">
        <v>64</v>
      </c>
      <c r="B66" s="3">
        <v>24.1</v>
      </c>
      <c r="C66" s="3">
        <v>49</v>
      </c>
      <c r="D66" s="4">
        <v>0.66666666666666696</v>
      </c>
      <c r="E66" s="114"/>
      <c r="F66" s="1"/>
    </row>
    <row r="67" spans="1:6" x14ac:dyDescent="0.25">
      <c r="A67" s="2">
        <v>65</v>
      </c>
      <c r="B67" s="3">
        <v>24.4</v>
      </c>
      <c r="C67" s="3">
        <v>49</v>
      </c>
      <c r="D67" s="4">
        <v>0.70833333333333304</v>
      </c>
      <c r="E67" s="114"/>
      <c r="F67" s="1"/>
    </row>
    <row r="68" spans="1:6" x14ac:dyDescent="0.25">
      <c r="A68" s="2">
        <v>66</v>
      </c>
      <c r="B68" s="3">
        <v>24.8</v>
      </c>
      <c r="C68" s="3">
        <v>47</v>
      </c>
      <c r="D68" s="4">
        <v>0.75</v>
      </c>
      <c r="E68" s="114"/>
      <c r="F68" s="1"/>
    </row>
    <row r="69" spans="1:6" x14ac:dyDescent="0.25">
      <c r="A69" s="2">
        <v>67</v>
      </c>
      <c r="B69" s="3">
        <v>24.6</v>
      </c>
      <c r="C69" s="3">
        <v>48</v>
      </c>
      <c r="D69" s="4">
        <v>0.79166666666666696</v>
      </c>
      <c r="E69" s="114"/>
      <c r="F69" s="1"/>
    </row>
    <row r="70" spans="1:6" x14ac:dyDescent="0.25">
      <c r="A70" s="2">
        <v>68</v>
      </c>
      <c r="B70" s="3">
        <v>24.2</v>
      </c>
      <c r="C70" s="3">
        <v>46</v>
      </c>
      <c r="D70" s="4">
        <v>0.83333333333333304</v>
      </c>
      <c r="E70" s="114"/>
      <c r="F70" s="1"/>
    </row>
    <row r="71" spans="1:6" x14ac:dyDescent="0.25">
      <c r="A71" s="2">
        <v>69</v>
      </c>
      <c r="B71" s="3">
        <v>23.4</v>
      </c>
      <c r="C71" s="3">
        <v>49</v>
      </c>
      <c r="D71" s="4">
        <v>0.875</v>
      </c>
      <c r="E71" s="114"/>
      <c r="F71" s="1"/>
    </row>
    <row r="72" spans="1:6" x14ac:dyDescent="0.25">
      <c r="A72" s="2">
        <v>70</v>
      </c>
      <c r="B72" s="3">
        <v>23.7</v>
      </c>
      <c r="C72" s="3">
        <v>46</v>
      </c>
      <c r="D72" s="4">
        <v>0.91666666666666696</v>
      </c>
      <c r="E72" s="114"/>
      <c r="F72" s="1"/>
    </row>
    <row r="73" spans="1:6" x14ac:dyDescent="0.25">
      <c r="A73" s="2">
        <v>71</v>
      </c>
      <c r="B73" s="3">
        <v>22.1</v>
      </c>
      <c r="C73" s="3">
        <v>52</v>
      </c>
      <c r="D73" s="4">
        <v>0.95833333333333304</v>
      </c>
      <c r="E73" s="115"/>
      <c r="F73" s="1"/>
    </row>
    <row r="74" spans="1:6" x14ac:dyDescent="0.25">
      <c r="A74" s="2">
        <v>72</v>
      </c>
      <c r="B74" s="8">
        <v>19.8</v>
      </c>
      <c r="C74" s="8">
        <v>59</v>
      </c>
      <c r="D74" s="7">
        <v>0</v>
      </c>
      <c r="E74" s="110" t="s">
        <v>7</v>
      </c>
      <c r="F74" s="1"/>
    </row>
    <row r="75" spans="1:6" x14ac:dyDescent="0.25">
      <c r="A75" s="2">
        <v>73</v>
      </c>
      <c r="B75" s="8">
        <v>17.899999999999999</v>
      </c>
      <c r="C75" s="8">
        <v>66</v>
      </c>
      <c r="D75" s="7">
        <v>4.1666666666666699E-2</v>
      </c>
      <c r="E75" s="111"/>
      <c r="F75" s="1"/>
    </row>
    <row r="76" spans="1:6" x14ac:dyDescent="0.25">
      <c r="A76" s="2">
        <v>74</v>
      </c>
      <c r="B76" s="8">
        <v>16.8</v>
      </c>
      <c r="C76" s="8">
        <v>68</v>
      </c>
      <c r="D76" s="7">
        <v>8.3333333333333301E-2</v>
      </c>
      <c r="E76" s="111"/>
      <c r="F76" s="1"/>
    </row>
    <row r="77" spans="1:6" x14ac:dyDescent="0.25">
      <c r="A77" s="2">
        <v>75</v>
      </c>
      <c r="B77" s="8">
        <v>15.6</v>
      </c>
      <c r="C77" s="8">
        <v>76</v>
      </c>
      <c r="D77" s="7">
        <v>0.125</v>
      </c>
      <c r="E77" s="111"/>
      <c r="F77" s="1"/>
    </row>
    <row r="78" spans="1:6" x14ac:dyDescent="0.25">
      <c r="A78" s="2">
        <v>76</v>
      </c>
      <c r="B78" s="8">
        <v>15</v>
      </c>
      <c r="C78" s="8">
        <v>79</v>
      </c>
      <c r="D78" s="7">
        <v>0.16666666666666699</v>
      </c>
      <c r="E78" s="111"/>
      <c r="F78" s="1"/>
    </row>
    <row r="79" spans="1:6" x14ac:dyDescent="0.25">
      <c r="A79" s="2">
        <v>77</v>
      </c>
      <c r="B79" s="8">
        <v>13.7</v>
      </c>
      <c r="C79" s="8">
        <v>83</v>
      </c>
      <c r="D79" s="7">
        <v>0.20833333333333301</v>
      </c>
      <c r="E79" s="111"/>
      <c r="F79" s="1"/>
    </row>
    <row r="80" spans="1:6" x14ac:dyDescent="0.25">
      <c r="A80" s="2">
        <v>78</v>
      </c>
      <c r="B80" s="8">
        <v>12.5</v>
      </c>
      <c r="C80" s="8">
        <v>85</v>
      </c>
      <c r="D80" s="7">
        <v>0.25</v>
      </c>
      <c r="E80" s="111"/>
      <c r="F80" s="1"/>
    </row>
    <row r="81" spans="1:6" x14ac:dyDescent="0.25">
      <c r="A81" s="2">
        <v>79</v>
      </c>
      <c r="B81" s="8">
        <v>12.2</v>
      </c>
      <c r="C81" s="8">
        <v>85</v>
      </c>
      <c r="D81" s="7">
        <v>0.29166666666666702</v>
      </c>
      <c r="E81" s="111"/>
      <c r="F81" s="1"/>
    </row>
    <row r="82" spans="1:6" x14ac:dyDescent="0.25">
      <c r="A82" s="2">
        <v>80</v>
      </c>
      <c r="B82" s="8">
        <v>12</v>
      </c>
      <c r="C82" s="8">
        <v>87</v>
      </c>
      <c r="D82" s="7">
        <v>0.33333333333333298</v>
      </c>
      <c r="E82" s="111"/>
      <c r="F82" s="1"/>
    </row>
    <row r="83" spans="1:6" x14ac:dyDescent="0.25">
      <c r="A83" s="2">
        <v>81</v>
      </c>
      <c r="B83" s="8">
        <v>10.7</v>
      </c>
      <c r="C83" s="8">
        <v>91</v>
      </c>
      <c r="D83" s="7">
        <v>0.375</v>
      </c>
      <c r="E83" s="111"/>
      <c r="F83" s="1"/>
    </row>
    <row r="84" spans="1:6" x14ac:dyDescent="0.25">
      <c r="A84" s="2">
        <v>82</v>
      </c>
      <c r="B84" s="8">
        <v>10.6</v>
      </c>
      <c r="C84" s="8">
        <v>91</v>
      </c>
      <c r="D84" s="7">
        <v>0.41666666666666702</v>
      </c>
      <c r="E84" s="111"/>
      <c r="F84" s="1"/>
    </row>
    <row r="85" spans="1:6" x14ac:dyDescent="0.25">
      <c r="A85" s="2">
        <v>83</v>
      </c>
      <c r="B85" s="8">
        <v>12.8</v>
      </c>
      <c r="C85" s="8">
        <v>86</v>
      </c>
      <c r="D85" s="7">
        <v>0.45833333333333298</v>
      </c>
      <c r="E85" s="111"/>
      <c r="F85" s="1"/>
    </row>
    <row r="86" spans="1:6" x14ac:dyDescent="0.25">
      <c r="A86" s="2">
        <v>84</v>
      </c>
      <c r="B86" s="8">
        <v>17.600000000000001</v>
      </c>
      <c r="C86" s="8">
        <v>67</v>
      </c>
      <c r="D86" s="7">
        <v>0.5</v>
      </c>
      <c r="E86" s="111"/>
      <c r="F86" s="1"/>
    </row>
    <row r="87" spans="1:6" x14ac:dyDescent="0.25">
      <c r="A87" s="2">
        <v>85</v>
      </c>
      <c r="B87" s="8">
        <v>19.7</v>
      </c>
      <c r="C87" s="8">
        <v>60</v>
      </c>
      <c r="D87" s="7">
        <v>0.54166666666666696</v>
      </c>
      <c r="E87" s="111"/>
      <c r="F87" s="1"/>
    </row>
    <row r="88" spans="1:6" x14ac:dyDescent="0.25">
      <c r="A88" s="2">
        <v>86</v>
      </c>
      <c r="B88" s="8">
        <v>22.7</v>
      </c>
      <c r="C88" s="8">
        <v>53</v>
      </c>
      <c r="D88" s="7">
        <v>0.58333333333333304</v>
      </c>
      <c r="E88" s="111"/>
      <c r="F88" s="1"/>
    </row>
    <row r="89" spans="1:6" x14ac:dyDescent="0.25">
      <c r="A89" s="2">
        <v>87</v>
      </c>
      <c r="B89" s="8">
        <v>25.4</v>
      </c>
      <c r="C89" s="8">
        <v>44</v>
      </c>
      <c r="D89" s="7">
        <v>0.625</v>
      </c>
      <c r="E89" s="111"/>
      <c r="F89" s="1"/>
    </row>
    <row r="90" spans="1:6" x14ac:dyDescent="0.25">
      <c r="A90" s="2">
        <v>88</v>
      </c>
      <c r="B90" s="8">
        <v>27.1</v>
      </c>
      <c r="C90" s="8">
        <v>38</v>
      </c>
      <c r="D90" s="7">
        <v>0.66666666666666696</v>
      </c>
      <c r="E90" s="111"/>
      <c r="F90" s="1"/>
    </row>
    <row r="91" spans="1:6" x14ac:dyDescent="0.25">
      <c r="A91" s="2">
        <v>89</v>
      </c>
      <c r="B91" s="8">
        <v>28.6</v>
      </c>
      <c r="C91" s="8">
        <v>36</v>
      </c>
      <c r="D91" s="7">
        <v>0.70833333333333304</v>
      </c>
      <c r="E91" s="111"/>
      <c r="F91" s="1"/>
    </row>
    <row r="92" spans="1:6" x14ac:dyDescent="0.25">
      <c r="A92" s="2">
        <v>90</v>
      </c>
      <c r="B92" s="8">
        <v>31</v>
      </c>
      <c r="C92" s="8">
        <v>33</v>
      </c>
      <c r="D92" s="7">
        <v>0.75</v>
      </c>
      <c r="E92" s="111"/>
      <c r="F92" s="1"/>
    </row>
    <row r="93" spans="1:6" x14ac:dyDescent="0.25">
      <c r="A93" s="2">
        <v>91</v>
      </c>
      <c r="B93" s="8">
        <v>30.5</v>
      </c>
      <c r="C93" s="8">
        <v>33</v>
      </c>
      <c r="D93" s="7">
        <v>0.79166666666666696</v>
      </c>
      <c r="E93" s="111"/>
      <c r="F93" s="1"/>
    </row>
    <row r="94" spans="1:6" x14ac:dyDescent="0.25">
      <c r="A94" s="2">
        <v>92</v>
      </c>
      <c r="B94" s="8">
        <v>30.2</v>
      </c>
      <c r="C94" s="8">
        <v>35</v>
      </c>
      <c r="D94" s="7">
        <v>0.83333333333333304</v>
      </c>
      <c r="E94" s="111"/>
      <c r="F94" s="1"/>
    </row>
    <row r="95" spans="1:6" x14ac:dyDescent="0.25">
      <c r="A95" s="2">
        <v>93</v>
      </c>
      <c r="B95" s="8">
        <v>29.4</v>
      </c>
      <c r="C95" s="8">
        <v>36</v>
      </c>
      <c r="D95" s="7">
        <v>0.875</v>
      </c>
      <c r="E95" s="111"/>
      <c r="F95" s="1"/>
    </row>
    <row r="96" spans="1:6" x14ac:dyDescent="0.25">
      <c r="A96" s="2">
        <v>94</v>
      </c>
      <c r="B96" s="8">
        <v>27.6</v>
      </c>
      <c r="C96" s="8">
        <v>38</v>
      </c>
      <c r="D96" s="7">
        <v>0.91666666666666696</v>
      </c>
      <c r="E96" s="111"/>
      <c r="F96" s="1"/>
    </row>
    <row r="97" spans="1:6" x14ac:dyDescent="0.25">
      <c r="A97" s="2">
        <v>95</v>
      </c>
      <c r="B97" s="8">
        <v>24.9</v>
      </c>
      <c r="C97" s="8">
        <v>39</v>
      </c>
      <c r="D97" s="7">
        <v>0.95833333333333304</v>
      </c>
      <c r="E97" s="112"/>
      <c r="F97" s="1"/>
    </row>
    <row r="98" spans="1:6" x14ac:dyDescent="0.25">
      <c r="A98" s="2">
        <v>96</v>
      </c>
      <c r="B98" s="3">
        <v>21.7</v>
      </c>
      <c r="C98" s="3">
        <v>48</v>
      </c>
      <c r="D98" s="4">
        <v>0</v>
      </c>
      <c r="E98" s="113" t="s">
        <v>8</v>
      </c>
      <c r="F98" s="1"/>
    </row>
    <row r="99" spans="1:6" x14ac:dyDescent="0.25">
      <c r="A99" s="2">
        <v>97</v>
      </c>
      <c r="B99" s="3">
        <v>19.600000000000001</v>
      </c>
      <c r="C99" s="3">
        <v>52</v>
      </c>
      <c r="D99" s="4">
        <v>4.1666666666666699E-2</v>
      </c>
      <c r="E99" s="114"/>
      <c r="F99" s="1"/>
    </row>
    <row r="100" spans="1:6" x14ac:dyDescent="0.25">
      <c r="A100" s="2">
        <v>98</v>
      </c>
      <c r="B100" s="3">
        <v>17.899999999999999</v>
      </c>
      <c r="C100" s="3">
        <v>56</v>
      </c>
      <c r="D100" s="4">
        <v>8.3333333333333301E-2</v>
      </c>
      <c r="E100" s="114"/>
      <c r="F100" s="1"/>
    </row>
    <row r="101" spans="1:6" x14ac:dyDescent="0.25">
      <c r="A101" s="2">
        <v>99</v>
      </c>
      <c r="B101" s="3">
        <v>16.7</v>
      </c>
      <c r="C101" s="3">
        <v>61</v>
      </c>
      <c r="D101" s="4">
        <v>0.125</v>
      </c>
      <c r="E101" s="114"/>
      <c r="F101" s="1"/>
    </row>
    <row r="102" spans="1:6" x14ac:dyDescent="0.25">
      <c r="A102" s="2">
        <v>100</v>
      </c>
      <c r="B102" s="3">
        <v>15.1</v>
      </c>
      <c r="C102" s="3">
        <v>66</v>
      </c>
      <c r="D102" s="4">
        <v>0.16666666666666699</v>
      </c>
      <c r="E102" s="114"/>
      <c r="F102" s="1"/>
    </row>
    <row r="103" spans="1:6" x14ac:dyDescent="0.25">
      <c r="A103" s="2">
        <v>101</v>
      </c>
      <c r="B103" s="3">
        <v>14</v>
      </c>
      <c r="C103" s="3">
        <v>70</v>
      </c>
      <c r="D103" s="4">
        <v>0.20833333333333301</v>
      </c>
      <c r="E103" s="114"/>
      <c r="F103" s="1"/>
    </row>
    <row r="104" spans="1:6" x14ac:dyDescent="0.25">
      <c r="A104" s="2">
        <v>102</v>
      </c>
      <c r="B104" s="3">
        <v>12.7</v>
      </c>
      <c r="C104" s="3">
        <v>77</v>
      </c>
      <c r="D104" s="4">
        <v>0.25</v>
      </c>
      <c r="E104" s="114"/>
      <c r="F104" s="1"/>
    </row>
    <row r="105" spans="1:6" x14ac:dyDescent="0.25">
      <c r="A105" s="2">
        <v>103</v>
      </c>
      <c r="B105" s="3">
        <v>12</v>
      </c>
      <c r="C105" s="3">
        <v>76</v>
      </c>
      <c r="D105" s="4">
        <v>0.29166666666666702</v>
      </c>
      <c r="E105" s="114"/>
      <c r="F105" s="1"/>
    </row>
    <row r="106" spans="1:6" x14ac:dyDescent="0.25">
      <c r="A106" s="2">
        <v>104</v>
      </c>
      <c r="B106" s="3">
        <v>11.4</v>
      </c>
      <c r="C106" s="3">
        <v>82</v>
      </c>
      <c r="D106" s="4">
        <v>0.33333333333333298</v>
      </c>
      <c r="E106" s="114"/>
      <c r="F106" s="1"/>
    </row>
    <row r="107" spans="1:6" x14ac:dyDescent="0.25">
      <c r="A107" s="2">
        <v>105</v>
      </c>
      <c r="B107" s="3">
        <v>10.6</v>
      </c>
      <c r="C107" s="3">
        <v>85</v>
      </c>
      <c r="D107" s="4">
        <v>0.375</v>
      </c>
      <c r="E107" s="114"/>
      <c r="F107" s="1"/>
    </row>
    <row r="108" spans="1:6" x14ac:dyDescent="0.25">
      <c r="A108" s="2">
        <v>106</v>
      </c>
      <c r="B108" s="3">
        <v>10</v>
      </c>
      <c r="C108" s="3">
        <v>85</v>
      </c>
      <c r="D108" s="4">
        <v>0.41666666666666702</v>
      </c>
      <c r="E108" s="114"/>
      <c r="F108" s="1"/>
    </row>
    <row r="109" spans="1:6" x14ac:dyDescent="0.25">
      <c r="A109" s="2">
        <v>107</v>
      </c>
      <c r="B109" s="3">
        <v>14.1</v>
      </c>
      <c r="C109" s="3">
        <v>72</v>
      </c>
      <c r="D109" s="4">
        <v>0.45833333333333298</v>
      </c>
      <c r="E109" s="114"/>
      <c r="F109" s="1"/>
    </row>
    <row r="110" spans="1:6" x14ac:dyDescent="0.25">
      <c r="A110" s="2">
        <v>108</v>
      </c>
      <c r="B110" s="3">
        <v>18.600000000000001</v>
      </c>
      <c r="C110" s="3">
        <v>55</v>
      </c>
      <c r="D110" s="4">
        <v>0.5</v>
      </c>
      <c r="E110" s="114"/>
      <c r="F110" s="1"/>
    </row>
    <row r="111" spans="1:6" x14ac:dyDescent="0.25">
      <c r="A111" s="2">
        <v>109</v>
      </c>
      <c r="B111" s="3">
        <v>21.2</v>
      </c>
      <c r="C111" s="3">
        <v>49</v>
      </c>
      <c r="D111" s="4">
        <v>0.54166666666666696</v>
      </c>
      <c r="E111" s="114"/>
      <c r="F111" s="1"/>
    </row>
    <row r="112" spans="1:6" x14ac:dyDescent="0.25">
      <c r="A112" s="2">
        <v>110</v>
      </c>
      <c r="B112" s="3">
        <v>24.3</v>
      </c>
      <c r="C112" s="3">
        <v>43</v>
      </c>
      <c r="D112" s="4">
        <v>0.58333333333333304</v>
      </c>
      <c r="E112" s="114"/>
      <c r="F112" s="1"/>
    </row>
    <row r="113" spans="1:6" x14ac:dyDescent="0.25">
      <c r="A113" s="2">
        <v>111</v>
      </c>
      <c r="B113" s="3">
        <v>27.7</v>
      </c>
      <c r="C113" s="3">
        <v>37</v>
      </c>
      <c r="D113" s="4">
        <v>0.625</v>
      </c>
      <c r="E113" s="114"/>
      <c r="F113" s="1"/>
    </row>
    <row r="114" spans="1:6" x14ac:dyDescent="0.25">
      <c r="A114" s="2">
        <v>112</v>
      </c>
      <c r="B114" s="3">
        <v>27.5</v>
      </c>
      <c r="C114" s="3">
        <v>40</v>
      </c>
      <c r="D114" s="4">
        <v>0.66666666666666696</v>
      </c>
      <c r="E114" s="114"/>
      <c r="F114" s="1"/>
    </row>
    <row r="115" spans="1:6" x14ac:dyDescent="0.25">
      <c r="A115" s="2">
        <v>113</v>
      </c>
      <c r="B115" s="3">
        <v>28.6</v>
      </c>
      <c r="C115" s="3">
        <v>38</v>
      </c>
      <c r="D115" s="4">
        <v>0.70833333333333304</v>
      </c>
      <c r="E115" s="114"/>
      <c r="F115" s="1"/>
    </row>
    <row r="116" spans="1:6" x14ac:dyDescent="0.25">
      <c r="A116" s="2">
        <v>114</v>
      </c>
      <c r="B116" s="3">
        <v>30</v>
      </c>
      <c r="C116" s="3">
        <v>34</v>
      </c>
      <c r="D116" s="4">
        <v>0.75</v>
      </c>
      <c r="E116" s="114"/>
      <c r="F116" s="1"/>
    </row>
    <row r="117" spans="1:6" x14ac:dyDescent="0.25">
      <c r="A117" s="2">
        <v>115</v>
      </c>
      <c r="B117" s="3">
        <v>30.4</v>
      </c>
      <c r="C117" s="3">
        <v>31</v>
      </c>
      <c r="D117" s="4">
        <v>0.79166666666666696</v>
      </c>
      <c r="E117" s="114"/>
      <c r="F117" s="1"/>
    </row>
    <row r="118" spans="1:6" x14ac:dyDescent="0.25">
      <c r="A118" s="123">
        <v>116</v>
      </c>
      <c r="B118" s="123">
        <v>31.1</v>
      </c>
      <c r="C118" s="123">
        <v>28</v>
      </c>
      <c r="D118" s="124">
        <v>0.83333333333333304</v>
      </c>
      <c r="E118" s="114"/>
      <c r="F118" s="1"/>
    </row>
    <row r="119" spans="1:6" x14ac:dyDescent="0.25">
      <c r="A119" s="2">
        <v>117</v>
      </c>
      <c r="B119" s="3">
        <v>30.6</v>
      </c>
      <c r="C119" s="3">
        <v>29</v>
      </c>
      <c r="D119" s="4">
        <v>0.875</v>
      </c>
      <c r="E119" s="114"/>
      <c r="F119" s="1"/>
    </row>
    <row r="120" spans="1:6" x14ac:dyDescent="0.25">
      <c r="A120" s="2">
        <v>118</v>
      </c>
      <c r="B120" s="3">
        <v>29.4</v>
      </c>
      <c r="C120" s="3">
        <v>31</v>
      </c>
      <c r="D120" s="4">
        <v>0.91666666666666696</v>
      </c>
      <c r="E120" s="114"/>
      <c r="F120" s="1"/>
    </row>
    <row r="121" spans="1:6" x14ac:dyDescent="0.25">
      <c r="A121" s="2">
        <v>119</v>
      </c>
      <c r="B121" s="3">
        <v>25.5</v>
      </c>
      <c r="C121" s="3">
        <v>40</v>
      </c>
      <c r="D121" s="4">
        <v>0.95833333333333304</v>
      </c>
      <c r="E121" s="115"/>
      <c r="F121" s="1"/>
    </row>
    <row r="122" spans="1:6" x14ac:dyDescent="0.25">
      <c r="A122" s="2">
        <v>120</v>
      </c>
      <c r="B122" s="8">
        <v>21.3</v>
      </c>
      <c r="C122" s="8">
        <v>51</v>
      </c>
      <c r="D122" s="7">
        <v>0</v>
      </c>
      <c r="E122" s="110" t="s">
        <v>9</v>
      </c>
      <c r="F122" s="1"/>
    </row>
    <row r="123" spans="1:6" x14ac:dyDescent="0.25">
      <c r="A123" s="2">
        <v>121</v>
      </c>
      <c r="B123" s="8">
        <v>19.2</v>
      </c>
      <c r="C123" s="8">
        <v>58</v>
      </c>
      <c r="D123" s="7">
        <v>4.1666666666666699E-2</v>
      </c>
      <c r="E123" s="111"/>
      <c r="F123" s="1"/>
    </row>
    <row r="124" spans="1:6" x14ac:dyDescent="0.25">
      <c r="A124" s="2">
        <v>122</v>
      </c>
      <c r="B124" s="8">
        <v>17.399999999999999</v>
      </c>
      <c r="C124" s="8">
        <v>67</v>
      </c>
      <c r="D124" s="7">
        <v>8.3333333333333301E-2</v>
      </c>
      <c r="E124" s="111"/>
      <c r="F124" s="1"/>
    </row>
    <row r="125" spans="1:6" x14ac:dyDescent="0.25">
      <c r="A125" s="2">
        <v>123</v>
      </c>
      <c r="B125" s="8">
        <v>16.100000000000001</v>
      </c>
      <c r="C125" s="8">
        <v>74</v>
      </c>
      <c r="D125" s="7">
        <v>0.125</v>
      </c>
      <c r="E125" s="111"/>
      <c r="F125" s="1"/>
    </row>
    <row r="126" spans="1:6" x14ac:dyDescent="0.25">
      <c r="A126" s="2">
        <v>124</v>
      </c>
      <c r="B126" s="8">
        <v>15.4</v>
      </c>
      <c r="C126" s="8">
        <v>83</v>
      </c>
      <c r="D126" s="7">
        <v>0.16666666666666699</v>
      </c>
      <c r="E126" s="111"/>
      <c r="F126" s="1"/>
    </row>
    <row r="127" spans="1:6" x14ac:dyDescent="0.25">
      <c r="A127" s="2">
        <v>125</v>
      </c>
      <c r="B127" s="8">
        <v>14.4</v>
      </c>
      <c r="C127" s="8">
        <v>87</v>
      </c>
      <c r="D127" s="7">
        <v>0.20833333333333301</v>
      </c>
      <c r="E127" s="111"/>
      <c r="F127" s="1"/>
    </row>
    <row r="128" spans="1:6" x14ac:dyDescent="0.25">
      <c r="A128" s="2">
        <v>126</v>
      </c>
      <c r="B128" s="8">
        <v>13.2</v>
      </c>
      <c r="C128" s="8">
        <v>89</v>
      </c>
      <c r="D128" s="7">
        <v>0.25</v>
      </c>
      <c r="E128" s="111"/>
      <c r="F128" s="1"/>
    </row>
    <row r="129" spans="1:6" x14ac:dyDescent="0.25">
      <c r="A129" s="2">
        <v>127</v>
      </c>
      <c r="B129" s="8">
        <v>12.8</v>
      </c>
      <c r="C129" s="8">
        <v>87</v>
      </c>
      <c r="D129" s="7">
        <v>0.29166666666666702</v>
      </c>
      <c r="E129" s="111"/>
      <c r="F129" s="1"/>
    </row>
    <row r="130" spans="1:6" x14ac:dyDescent="0.25">
      <c r="A130" s="2">
        <v>128</v>
      </c>
      <c r="B130" s="8">
        <v>12.4</v>
      </c>
      <c r="C130" s="8">
        <v>90</v>
      </c>
      <c r="D130" s="7">
        <v>0.33333333333333298</v>
      </c>
      <c r="E130" s="111"/>
      <c r="F130" s="1"/>
    </row>
    <row r="131" spans="1:6" x14ac:dyDescent="0.25">
      <c r="A131" s="2">
        <v>129</v>
      </c>
      <c r="B131" s="8">
        <v>11.4</v>
      </c>
      <c r="C131" s="8">
        <v>91</v>
      </c>
      <c r="D131" s="7">
        <v>0.375</v>
      </c>
      <c r="E131" s="111"/>
      <c r="F131" s="1"/>
    </row>
    <row r="132" spans="1:6" x14ac:dyDescent="0.25">
      <c r="A132" s="2">
        <v>130</v>
      </c>
      <c r="B132" s="8">
        <v>11.4</v>
      </c>
      <c r="C132" s="8">
        <v>89</v>
      </c>
      <c r="D132" s="7">
        <v>0.41666666666666702</v>
      </c>
      <c r="E132" s="111"/>
      <c r="F132" s="1"/>
    </row>
    <row r="133" spans="1:6" x14ac:dyDescent="0.25">
      <c r="A133" s="2">
        <v>131</v>
      </c>
      <c r="B133" s="8">
        <v>14</v>
      </c>
      <c r="C133" s="8">
        <v>77</v>
      </c>
      <c r="D133" s="7">
        <v>0.45833333333333298</v>
      </c>
      <c r="E133" s="111"/>
      <c r="F133" s="1"/>
    </row>
    <row r="134" spans="1:6" x14ac:dyDescent="0.25">
      <c r="A134" s="2">
        <v>132</v>
      </c>
      <c r="B134" s="8">
        <v>18.5</v>
      </c>
      <c r="C134" s="8">
        <v>65</v>
      </c>
      <c r="D134" s="7">
        <v>0.5</v>
      </c>
      <c r="E134" s="111"/>
      <c r="F134" s="1"/>
    </row>
    <row r="135" spans="1:6" x14ac:dyDescent="0.25">
      <c r="A135" s="2">
        <v>133</v>
      </c>
      <c r="B135" s="8">
        <v>21.2</v>
      </c>
      <c r="C135" s="8">
        <v>53</v>
      </c>
      <c r="D135" s="7">
        <v>0.54166666666666696</v>
      </c>
      <c r="E135" s="111"/>
      <c r="F135" s="1"/>
    </row>
    <row r="136" spans="1:6" x14ac:dyDescent="0.25">
      <c r="A136" s="2">
        <v>134</v>
      </c>
      <c r="B136" s="8">
        <v>23.7</v>
      </c>
      <c r="C136" s="8">
        <v>44</v>
      </c>
      <c r="D136" s="7">
        <v>0.58333333333333304</v>
      </c>
      <c r="E136" s="111"/>
      <c r="F136" s="1"/>
    </row>
    <row r="137" spans="1:6" x14ac:dyDescent="0.25">
      <c r="A137" s="2">
        <v>135</v>
      </c>
      <c r="B137" s="8">
        <v>26.6</v>
      </c>
      <c r="C137" s="8">
        <v>42</v>
      </c>
      <c r="D137" s="7">
        <v>0.625</v>
      </c>
      <c r="E137" s="111"/>
      <c r="F137" s="1"/>
    </row>
    <row r="138" spans="1:6" x14ac:dyDescent="0.25">
      <c r="A138" s="2">
        <v>136</v>
      </c>
      <c r="B138" s="8">
        <v>27.8</v>
      </c>
      <c r="C138" s="8">
        <v>41</v>
      </c>
      <c r="D138" s="7">
        <v>0.66666666666666696</v>
      </c>
      <c r="E138" s="111"/>
      <c r="F138" s="1"/>
    </row>
    <row r="139" spans="1:6" x14ac:dyDescent="0.25">
      <c r="A139" s="2">
        <v>137</v>
      </c>
      <c r="B139" s="8">
        <v>26.8</v>
      </c>
      <c r="C139" s="8">
        <v>44</v>
      </c>
      <c r="D139" s="7">
        <v>0.70833333333333304</v>
      </c>
      <c r="E139" s="111"/>
      <c r="F139" s="1"/>
    </row>
    <row r="140" spans="1:6" x14ac:dyDescent="0.25">
      <c r="A140" s="2">
        <v>138</v>
      </c>
      <c r="B140" s="8">
        <v>27.9</v>
      </c>
      <c r="C140" s="8">
        <v>40</v>
      </c>
      <c r="D140" s="7">
        <v>0.75</v>
      </c>
      <c r="E140" s="111"/>
      <c r="F140" s="1"/>
    </row>
    <row r="141" spans="1:6" x14ac:dyDescent="0.25">
      <c r="A141" s="2">
        <v>139</v>
      </c>
      <c r="B141" s="8">
        <v>29.1</v>
      </c>
      <c r="C141" s="8">
        <v>38</v>
      </c>
      <c r="D141" s="7">
        <v>0.79166666666666696</v>
      </c>
      <c r="E141" s="111"/>
      <c r="F141" s="1"/>
    </row>
    <row r="142" spans="1:6" x14ac:dyDescent="0.25">
      <c r="A142" s="2">
        <v>140</v>
      </c>
      <c r="B142" s="8">
        <v>28.9</v>
      </c>
      <c r="C142" s="8">
        <v>38</v>
      </c>
      <c r="D142" s="7">
        <v>0.83333333333333304</v>
      </c>
      <c r="E142" s="111"/>
      <c r="F142" s="1"/>
    </row>
    <row r="143" spans="1:6" x14ac:dyDescent="0.25">
      <c r="A143" s="2">
        <v>141</v>
      </c>
      <c r="B143" s="8">
        <v>30.7</v>
      </c>
      <c r="C143" s="8">
        <v>33</v>
      </c>
      <c r="D143" s="7">
        <v>0.875</v>
      </c>
      <c r="E143" s="111"/>
      <c r="F143" s="1"/>
    </row>
    <row r="144" spans="1:6" x14ac:dyDescent="0.25">
      <c r="A144" s="2">
        <v>142</v>
      </c>
      <c r="B144" s="8">
        <v>30</v>
      </c>
      <c r="C144" s="8">
        <v>34</v>
      </c>
      <c r="D144" s="7">
        <v>0.91666666666666696</v>
      </c>
      <c r="E144" s="111"/>
      <c r="F144" s="1"/>
    </row>
    <row r="145" spans="1:6" x14ac:dyDescent="0.25">
      <c r="A145" s="2">
        <v>143</v>
      </c>
      <c r="B145" s="8">
        <v>28.1</v>
      </c>
      <c r="C145" s="8">
        <v>37</v>
      </c>
      <c r="D145" s="7">
        <v>0.95833333333333304</v>
      </c>
      <c r="E145" s="112"/>
      <c r="F145" s="1"/>
    </row>
    <row r="146" spans="1:6" x14ac:dyDescent="0.25">
      <c r="A146" s="2">
        <v>144</v>
      </c>
      <c r="B146" s="3">
        <v>23.9</v>
      </c>
      <c r="C146" s="3">
        <v>49</v>
      </c>
      <c r="D146" s="4">
        <v>0</v>
      </c>
      <c r="E146" s="113" t="s">
        <v>10</v>
      </c>
      <c r="F146" s="1"/>
    </row>
    <row r="147" spans="1:6" x14ac:dyDescent="0.25">
      <c r="A147" s="2">
        <v>145</v>
      </c>
      <c r="B147" s="3">
        <v>20.9</v>
      </c>
      <c r="C147" s="3">
        <v>59</v>
      </c>
      <c r="D147" s="4">
        <v>4.1666666666666699E-2</v>
      </c>
      <c r="E147" s="114"/>
      <c r="F147" s="1"/>
    </row>
    <row r="148" spans="1:6" x14ac:dyDescent="0.25">
      <c r="A148" s="2">
        <v>146</v>
      </c>
      <c r="B148" s="3">
        <v>18.8</v>
      </c>
      <c r="C148" s="3">
        <v>66</v>
      </c>
      <c r="D148" s="4">
        <v>8.3333333333333301E-2</v>
      </c>
      <c r="E148" s="114"/>
      <c r="F148" s="1"/>
    </row>
    <row r="149" spans="1:6" x14ac:dyDescent="0.25">
      <c r="A149" s="2">
        <v>147</v>
      </c>
      <c r="B149" s="3">
        <v>18.399999999999999</v>
      </c>
      <c r="C149" s="3">
        <v>68</v>
      </c>
      <c r="D149" s="4">
        <v>0.125</v>
      </c>
      <c r="E149" s="114"/>
      <c r="F149" s="1"/>
    </row>
    <row r="150" spans="1:6" x14ac:dyDescent="0.25">
      <c r="A150" s="2">
        <v>148</v>
      </c>
      <c r="B150" s="3">
        <v>16.2</v>
      </c>
      <c r="C150" s="3">
        <v>76</v>
      </c>
      <c r="D150" s="4">
        <v>0.16666666666666699</v>
      </c>
      <c r="E150" s="114"/>
      <c r="F150" s="1"/>
    </row>
    <row r="151" spans="1:6" x14ac:dyDescent="0.25">
      <c r="A151" s="2">
        <v>149</v>
      </c>
      <c r="B151" s="3">
        <v>15.3</v>
      </c>
      <c r="C151" s="3">
        <v>78</v>
      </c>
      <c r="D151" s="4">
        <v>0.20833333333333301</v>
      </c>
      <c r="E151" s="114"/>
      <c r="F151" s="1"/>
    </row>
    <row r="152" spans="1:6" x14ac:dyDescent="0.25">
      <c r="A152" s="2">
        <v>150</v>
      </c>
      <c r="B152" s="3">
        <v>14.3</v>
      </c>
      <c r="C152" s="3">
        <v>82</v>
      </c>
      <c r="D152" s="4">
        <v>0.25</v>
      </c>
      <c r="E152" s="114"/>
      <c r="F152" s="1"/>
    </row>
    <row r="153" spans="1:6" x14ac:dyDescent="0.25">
      <c r="A153" s="2">
        <v>151</v>
      </c>
      <c r="B153" s="3">
        <v>13.3</v>
      </c>
      <c r="C153" s="3">
        <v>87</v>
      </c>
      <c r="D153" s="4">
        <v>0.29166666666666702</v>
      </c>
      <c r="E153" s="114"/>
      <c r="F153" s="1"/>
    </row>
    <row r="154" spans="1:6" x14ac:dyDescent="0.25">
      <c r="A154" s="2">
        <v>152</v>
      </c>
      <c r="B154" s="3">
        <v>12.9</v>
      </c>
      <c r="C154" s="3">
        <v>85</v>
      </c>
      <c r="D154" s="4">
        <v>0.33333333333333298</v>
      </c>
      <c r="E154" s="114"/>
      <c r="F154" s="1"/>
    </row>
    <row r="155" spans="1:6" x14ac:dyDescent="0.25">
      <c r="A155" s="2">
        <v>153</v>
      </c>
      <c r="B155" s="3">
        <v>12.2</v>
      </c>
      <c r="C155" s="3">
        <v>89</v>
      </c>
      <c r="D155" s="4">
        <v>0.375</v>
      </c>
      <c r="E155" s="114"/>
      <c r="F155" s="1"/>
    </row>
    <row r="156" spans="1:6" x14ac:dyDescent="0.25">
      <c r="A156" s="2">
        <v>154</v>
      </c>
      <c r="B156" s="3">
        <v>11.5</v>
      </c>
      <c r="C156" s="3">
        <v>91</v>
      </c>
      <c r="D156" s="4">
        <v>0.41666666666666702</v>
      </c>
      <c r="E156" s="114"/>
      <c r="F156" s="1"/>
    </row>
    <row r="157" spans="1:6" x14ac:dyDescent="0.25">
      <c r="A157" s="2">
        <v>155</v>
      </c>
      <c r="B157" s="3">
        <v>13.2</v>
      </c>
      <c r="C157" s="3">
        <v>88</v>
      </c>
      <c r="D157" s="4">
        <v>0.45833333333333298</v>
      </c>
      <c r="E157" s="114"/>
      <c r="F157" s="1"/>
    </row>
    <row r="158" spans="1:6" x14ac:dyDescent="0.25">
      <c r="A158" s="2">
        <v>156</v>
      </c>
      <c r="B158" s="3">
        <v>17.100000000000001</v>
      </c>
      <c r="C158" s="3">
        <v>74</v>
      </c>
      <c r="D158" s="4">
        <v>0.5</v>
      </c>
      <c r="E158" s="114"/>
      <c r="F158" s="1"/>
    </row>
    <row r="159" spans="1:6" x14ac:dyDescent="0.25">
      <c r="A159" s="2">
        <v>157</v>
      </c>
      <c r="B159" s="3">
        <v>19.899999999999999</v>
      </c>
      <c r="C159" s="3">
        <v>64</v>
      </c>
      <c r="D159" s="4">
        <v>0.54166666666666696</v>
      </c>
      <c r="E159" s="114"/>
      <c r="F159" s="1"/>
    </row>
    <row r="160" spans="1:6" x14ac:dyDescent="0.25">
      <c r="A160" s="2">
        <v>158</v>
      </c>
      <c r="B160" s="3">
        <v>22.9</v>
      </c>
      <c r="C160" s="3">
        <v>56</v>
      </c>
      <c r="D160" s="4">
        <v>0.58333333333333304</v>
      </c>
      <c r="E160" s="114"/>
      <c r="F160" s="1"/>
    </row>
    <row r="161" spans="1:6" x14ac:dyDescent="0.25">
      <c r="A161" s="2">
        <v>159</v>
      </c>
      <c r="B161" s="3">
        <v>24.9</v>
      </c>
      <c r="C161" s="3">
        <v>50</v>
      </c>
      <c r="D161" s="4">
        <v>0.625</v>
      </c>
      <c r="E161" s="114"/>
      <c r="F161" s="1"/>
    </row>
    <row r="162" spans="1:6" x14ac:dyDescent="0.25">
      <c r="A162" s="2">
        <v>160</v>
      </c>
      <c r="B162" s="3">
        <v>26</v>
      </c>
      <c r="C162" s="3">
        <v>49</v>
      </c>
      <c r="D162" s="4">
        <v>0.66666666666666696</v>
      </c>
      <c r="E162" s="114"/>
      <c r="F162" s="1"/>
    </row>
    <row r="163" spans="1:6" x14ac:dyDescent="0.25">
      <c r="A163" s="2">
        <v>161</v>
      </c>
      <c r="B163" s="3">
        <v>26.7</v>
      </c>
      <c r="C163" s="3">
        <v>47</v>
      </c>
      <c r="D163" s="4">
        <v>0.70833333333333304</v>
      </c>
      <c r="E163" s="114"/>
      <c r="F163" s="1"/>
    </row>
    <row r="164" spans="1:6" x14ac:dyDescent="0.25">
      <c r="A164" s="2">
        <v>162</v>
      </c>
      <c r="B164" s="3">
        <v>27.6</v>
      </c>
      <c r="C164" s="3">
        <v>46</v>
      </c>
      <c r="D164" s="4">
        <v>0.75</v>
      </c>
      <c r="E164" s="114"/>
      <c r="F164" s="1"/>
    </row>
    <row r="165" spans="1:6" x14ac:dyDescent="0.25">
      <c r="A165" s="2">
        <v>163</v>
      </c>
      <c r="B165" s="3">
        <v>26.5</v>
      </c>
      <c r="C165" s="3">
        <v>49</v>
      </c>
      <c r="D165" s="4">
        <v>0.79166666666666696</v>
      </c>
      <c r="E165" s="114"/>
      <c r="F165" s="1"/>
    </row>
    <row r="166" spans="1:6" x14ac:dyDescent="0.25">
      <c r="A166" s="2">
        <v>164</v>
      </c>
      <c r="B166" s="3">
        <v>26</v>
      </c>
      <c r="C166" s="3">
        <v>50</v>
      </c>
      <c r="D166" s="4">
        <v>0.83333333333333304</v>
      </c>
      <c r="E166" s="114"/>
      <c r="F166" s="1"/>
    </row>
    <row r="167" spans="1:6" x14ac:dyDescent="0.25">
      <c r="A167" s="2">
        <v>165</v>
      </c>
      <c r="B167" s="3">
        <v>25.2</v>
      </c>
      <c r="C167" s="3">
        <v>53</v>
      </c>
      <c r="D167" s="4">
        <v>0.875</v>
      </c>
      <c r="E167" s="114"/>
      <c r="F167" s="1"/>
    </row>
    <row r="168" spans="1:6" x14ac:dyDescent="0.25">
      <c r="A168" s="2">
        <v>166</v>
      </c>
      <c r="B168" s="3">
        <v>23.4</v>
      </c>
      <c r="C168" s="3">
        <v>59</v>
      </c>
      <c r="D168" s="4">
        <v>0.91666666666666696</v>
      </c>
      <c r="E168" s="114"/>
      <c r="F168" s="1"/>
    </row>
    <row r="169" spans="1:6" x14ac:dyDescent="0.25">
      <c r="A169" s="2">
        <v>167</v>
      </c>
      <c r="B169" s="3">
        <v>21.4</v>
      </c>
      <c r="C169" s="3">
        <v>65</v>
      </c>
      <c r="D169" s="4">
        <v>0.95833333333333304</v>
      </c>
      <c r="E169" s="115"/>
      <c r="F169" s="1"/>
    </row>
    <row r="170" spans="1:6" x14ac:dyDescent="0.25">
      <c r="B170">
        <f>MAX(B2:B169)</f>
        <v>31.1</v>
      </c>
    </row>
  </sheetData>
  <mergeCells count="9">
    <mergeCell ref="E122:E145"/>
    <mergeCell ref="E146:E169"/>
    <mergeCell ref="G1:N1"/>
    <mergeCell ref="E2:E25"/>
    <mergeCell ref="E26:E49"/>
    <mergeCell ref="E50:E73"/>
    <mergeCell ref="E74:E97"/>
    <mergeCell ref="E98:E121"/>
    <mergeCell ref="I3:N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DD0B-5582-4BBF-8B1A-9BB3A87126F4}">
  <dimension ref="A2:AE59"/>
  <sheetViews>
    <sheetView topLeftCell="C1" zoomScaleNormal="100" workbookViewId="0">
      <selection activeCell="F45" sqref="F45"/>
    </sheetView>
  </sheetViews>
  <sheetFormatPr baseColWidth="10" defaultRowHeight="15" x14ac:dyDescent="0.25"/>
  <cols>
    <col min="1" max="1" width="20.7109375" bestFit="1" customWidth="1"/>
    <col min="2" max="2" width="19.140625" bestFit="1" customWidth="1"/>
    <col min="3" max="3" width="25.28515625" customWidth="1"/>
    <col min="4" max="4" width="18.7109375" bestFit="1" customWidth="1"/>
    <col min="5" max="5" width="17.42578125" bestFit="1" customWidth="1"/>
    <col min="6" max="6" width="18.42578125" bestFit="1" customWidth="1"/>
    <col min="7" max="7" width="23" bestFit="1" customWidth="1"/>
    <col min="8" max="9" width="23" customWidth="1"/>
    <col min="10" max="11" width="7.5703125" bestFit="1" customWidth="1"/>
    <col min="12" max="13" width="8.5703125" bestFit="1" customWidth="1"/>
    <col min="14" max="14" width="2.7109375" customWidth="1"/>
    <col min="16" max="16" width="15.7109375" bestFit="1" customWidth="1"/>
    <col min="17" max="17" width="12.85546875" bestFit="1" customWidth="1"/>
    <col min="18" max="18" width="11.7109375" bestFit="1" customWidth="1"/>
    <col min="19" max="19" width="13.7109375" bestFit="1" customWidth="1"/>
    <col min="24" max="24" width="15.7109375" bestFit="1" customWidth="1"/>
    <col min="25" max="25" width="22.5703125" bestFit="1" customWidth="1"/>
    <col min="26" max="26" width="17.140625" bestFit="1" customWidth="1"/>
    <col min="27" max="27" width="13.5703125" customWidth="1"/>
    <col min="30" max="30" width="23" bestFit="1" customWidth="1"/>
  </cols>
  <sheetData>
    <row r="2" spans="1:31" ht="15.75" thickBot="1" x14ac:dyDescent="0.3">
      <c r="A2" s="19" t="s">
        <v>49</v>
      </c>
      <c r="B2" s="19" t="s">
        <v>14</v>
      </c>
      <c r="C2" s="19" t="s">
        <v>29</v>
      </c>
      <c r="D2" s="19" t="s">
        <v>51</v>
      </c>
      <c r="E2" s="19" t="s">
        <v>46</v>
      </c>
      <c r="F2" s="19" t="s">
        <v>47</v>
      </c>
      <c r="G2" s="44" t="s">
        <v>48</v>
      </c>
      <c r="H2" s="19" t="s">
        <v>59</v>
      </c>
      <c r="I2" s="19" t="s">
        <v>60</v>
      </c>
      <c r="J2" s="25" t="s">
        <v>61</v>
      </c>
      <c r="K2" s="25" t="s">
        <v>62</v>
      </c>
      <c r="L2" s="25" t="s">
        <v>63</v>
      </c>
      <c r="M2" s="25" t="s">
        <v>64</v>
      </c>
      <c r="O2" s="10" t="s">
        <v>14</v>
      </c>
      <c r="P2" s="10" t="s">
        <v>17</v>
      </c>
      <c r="Q2" s="10" t="s">
        <v>33</v>
      </c>
      <c r="R2" s="13" t="s">
        <v>23</v>
      </c>
      <c r="S2" s="13" t="s">
        <v>24</v>
      </c>
    </row>
    <row r="3" spans="1:31" x14ac:dyDescent="0.25">
      <c r="A3" s="99" t="s">
        <v>32</v>
      </c>
      <c r="B3" s="17" t="s">
        <v>13</v>
      </c>
      <c r="C3" s="17" t="s">
        <v>45</v>
      </c>
      <c r="D3" s="17">
        <v>2</v>
      </c>
      <c r="E3" s="34">
        <f>4000*T39*D3</f>
        <v>64959.999999999993</v>
      </c>
      <c r="F3" s="34">
        <f>P7*T39*D3</f>
        <v>4059.9999999999995</v>
      </c>
      <c r="G3" s="45">
        <f>E3*0.1</f>
        <v>6496</v>
      </c>
      <c r="H3" s="34">
        <f>F3*168*4*0.0011</f>
        <v>3001.1519999999996</v>
      </c>
      <c r="I3" s="43">
        <f>H3+G3+E3</f>
        <v>74457.151999999987</v>
      </c>
      <c r="J3" s="11"/>
      <c r="K3" s="11"/>
      <c r="L3" s="11"/>
      <c r="M3" s="11"/>
      <c r="O3" s="9" t="s">
        <v>13</v>
      </c>
      <c r="P3" s="9">
        <v>32153</v>
      </c>
      <c r="Q3" s="12">
        <f>P3*0.86</f>
        <v>27651.579999999998</v>
      </c>
      <c r="R3" s="9">
        <v>88</v>
      </c>
      <c r="S3" s="12">
        <f>R3/3.5</f>
        <v>25.142857142857142</v>
      </c>
    </row>
    <row r="4" spans="1:31" ht="15.75" thickBot="1" x14ac:dyDescent="0.3">
      <c r="A4" s="101"/>
      <c r="B4" s="18" t="s">
        <v>50</v>
      </c>
      <c r="C4" s="18" t="s">
        <v>45</v>
      </c>
      <c r="D4" s="18">
        <v>1</v>
      </c>
      <c r="E4" s="37">
        <f>4000*T40*D4</f>
        <v>28040</v>
      </c>
      <c r="F4" s="18">
        <f>P7*T40*D4</f>
        <v>1752.5</v>
      </c>
      <c r="G4" s="47">
        <f>E4*0.1</f>
        <v>2804</v>
      </c>
      <c r="H4" s="37">
        <f t="shared" ref="H4:H10" si="0">F4*168*4*0.0011</f>
        <v>1295.4480000000001</v>
      </c>
      <c r="I4" s="48">
        <f t="shared" ref="I4:I11" si="1">H4+G4+E4</f>
        <v>32139.448</v>
      </c>
      <c r="J4" s="11"/>
      <c r="K4" s="11"/>
      <c r="L4" s="11"/>
      <c r="M4" s="11"/>
      <c r="O4" s="9" t="s">
        <v>15</v>
      </c>
      <c r="P4" s="9">
        <v>13918</v>
      </c>
      <c r="Q4" s="12">
        <f t="shared" ref="Q4:Q5" si="2">P4*0.86</f>
        <v>11969.48</v>
      </c>
      <c r="R4" s="9">
        <v>44</v>
      </c>
      <c r="S4" s="12">
        <f>R4/3.5</f>
        <v>12.571428571428571</v>
      </c>
    </row>
    <row r="5" spans="1:31" x14ac:dyDescent="0.25">
      <c r="A5" s="103" t="s">
        <v>30</v>
      </c>
      <c r="B5" s="106" t="s">
        <v>65</v>
      </c>
      <c r="C5" s="39" t="s">
        <v>52</v>
      </c>
      <c r="D5" s="17">
        <v>2</v>
      </c>
      <c r="E5" s="17">
        <f>((100*88) + (0.83*2*1000))*2</f>
        <v>20920</v>
      </c>
      <c r="F5" s="34">
        <f>P7*0.83*2*2</f>
        <v>830</v>
      </c>
      <c r="G5" s="34">
        <f>0.1*E5</f>
        <v>2092</v>
      </c>
      <c r="H5" s="34">
        <f t="shared" si="0"/>
        <v>613.53600000000006</v>
      </c>
      <c r="I5" s="43">
        <f t="shared" si="1"/>
        <v>23625.536</v>
      </c>
      <c r="J5" s="57">
        <f>E5+G5+H5*12</f>
        <v>30374.432000000001</v>
      </c>
      <c r="K5" s="58">
        <f>E5+(G5*2)+H5*24</f>
        <v>39828.864000000001</v>
      </c>
      <c r="L5" s="58">
        <f>E5+(G5*3)+H5*32</f>
        <v>46829.152000000002</v>
      </c>
      <c r="M5" s="59">
        <f>E5+(G5*4)+H5*48</f>
        <v>58737.728000000003</v>
      </c>
      <c r="O5" s="9" t="s">
        <v>16</v>
      </c>
      <c r="P5" s="9">
        <v>4429</v>
      </c>
      <c r="Q5" s="12">
        <f t="shared" si="2"/>
        <v>3808.94</v>
      </c>
      <c r="R5" s="14"/>
      <c r="S5" s="14"/>
    </row>
    <row r="6" spans="1:31" x14ac:dyDescent="0.25">
      <c r="A6" s="104"/>
      <c r="B6" s="107"/>
      <c r="C6" s="13" t="s">
        <v>53</v>
      </c>
      <c r="D6" s="9">
        <v>1</v>
      </c>
      <c r="E6" s="9">
        <f>(100*174)+ (0.83*3*1000)</f>
        <v>19890</v>
      </c>
      <c r="F6" s="21">
        <f>250*0.83*3</f>
        <v>622.5</v>
      </c>
      <c r="G6" s="21">
        <f t="shared" ref="G6:G11" si="3">0.1*E6</f>
        <v>1989</v>
      </c>
      <c r="H6" s="21">
        <f t="shared" si="0"/>
        <v>460.15200000000004</v>
      </c>
      <c r="I6" s="49">
        <f t="shared" si="1"/>
        <v>22339.152000000002</v>
      </c>
      <c r="J6" s="60">
        <f t="shared" ref="J6:J21" si="4">E6+G6+H6*12</f>
        <v>27400.824000000001</v>
      </c>
      <c r="K6" s="11">
        <f t="shared" ref="K6:K21" si="5">E6+(G6*2)+H6*24</f>
        <v>34911.648000000001</v>
      </c>
      <c r="L6" s="11">
        <f t="shared" ref="L6:L21" si="6">E6+(G6*3)+H6*32</f>
        <v>40581.864000000001</v>
      </c>
      <c r="M6" s="61">
        <f t="shared" ref="M6:M21" si="7">E6+(G6*4)+H6*48</f>
        <v>49933.296000000002</v>
      </c>
      <c r="O6" s="10" t="s">
        <v>26</v>
      </c>
      <c r="P6" s="10" t="s">
        <v>25</v>
      </c>
      <c r="Q6" s="22" t="s">
        <v>27</v>
      </c>
      <c r="R6" s="24"/>
    </row>
    <row r="7" spans="1:31" x14ac:dyDescent="0.25">
      <c r="A7" s="104"/>
      <c r="B7" s="107"/>
      <c r="C7" s="13" t="s">
        <v>54</v>
      </c>
      <c r="D7" s="9">
        <v>1</v>
      </c>
      <c r="E7" s="9">
        <f>(100*167)+ (0.58*3*1000)</f>
        <v>18440</v>
      </c>
      <c r="F7" s="21">
        <f>250*0.58*3</f>
        <v>435</v>
      </c>
      <c r="G7" s="21">
        <f t="shared" si="3"/>
        <v>1844</v>
      </c>
      <c r="H7" s="21">
        <f t="shared" si="0"/>
        <v>321.55200000000002</v>
      </c>
      <c r="I7" s="49">
        <f t="shared" si="1"/>
        <v>20605.552</v>
      </c>
      <c r="J7" s="60">
        <f t="shared" si="4"/>
        <v>24142.624</v>
      </c>
      <c r="K7" s="11">
        <f t="shared" si="5"/>
        <v>29845.248</v>
      </c>
      <c r="L7" s="11">
        <f t="shared" si="6"/>
        <v>34261.664000000004</v>
      </c>
      <c r="M7" s="61">
        <f t="shared" si="7"/>
        <v>41250.495999999999</v>
      </c>
      <c r="O7" s="9" t="s">
        <v>18</v>
      </c>
      <c r="P7" s="9">
        <v>250</v>
      </c>
      <c r="Q7" s="23" t="s">
        <v>19</v>
      </c>
      <c r="R7" s="24"/>
      <c r="AE7">
        <v>1</v>
      </c>
    </row>
    <row r="8" spans="1:31" x14ac:dyDescent="0.25">
      <c r="A8" s="104"/>
      <c r="B8" s="107"/>
      <c r="C8" s="35" t="s">
        <v>55</v>
      </c>
      <c r="D8" s="9">
        <v>1</v>
      </c>
      <c r="E8" s="9">
        <f>(100*170)+ (0.56*5*1000)</f>
        <v>19800</v>
      </c>
      <c r="F8" s="21">
        <f>250*0.56*5</f>
        <v>700</v>
      </c>
      <c r="G8" s="21">
        <f t="shared" si="3"/>
        <v>1980</v>
      </c>
      <c r="H8" s="21">
        <f t="shared" si="0"/>
        <v>517.44000000000005</v>
      </c>
      <c r="I8" s="49">
        <f t="shared" si="1"/>
        <v>22297.439999999999</v>
      </c>
      <c r="J8" s="60">
        <f t="shared" si="4"/>
        <v>27989.279999999999</v>
      </c>
      <c r="K8" s="11">
        <f t="shared" si="5"/>
        <v>36178.559999999998</v>
      </c>
      <c r="L8" s="11">
        <f t="shared" si="6"/>
        <v>42298.080000000002</v>
      </c>
      <c r="M8" s="61">
        <f t="shared" si="7"/>
        <v>52557.120000000003</v>
      </c>
      <c r="O8" s="9" t="s">
        <v>20</v>
      </c>
      <c r="P8" s="9">
        <v>85000</v>
      </c>
      <c r="Q8" s="23" t="s">
        <v>22</v>
      </c>
      <c r="R8" s="24"/>
    </row>
    <row r="9" spans="1:31" x14ac:dyDescent="0.25">
      <c r="A9" s="104"/>
      <c r="B9" s="107"/>
      <c r="C9" s="42" t="s">
        <v>56</v>
      </c>
      <c r="D9" s="9">
        <v>1</v>
      </c>
      <c r="E9" s="9">
        <f>(100*173)+ (0.395*4*1000)</f>
        <v>18880</v>
      </c>
      <c r="F9" s="21">
        <f>250*0.395*4</f>
        <v>395</v>
      </c>
      <c r="G9" s="21">
        <f t="shared" si="3"/>
        <v>1888</v>
      </c>
      <c r="H9" s="21">
        <f t="shared" si="0"/>
        <v>291.98400000000004</v>
      </c>
      <c r="I9" s="49">
        <f t="shared" si="1"/>
        <v>21059.984</v>
      </c>
      <c r="J9" s="60">
        <f t="shared" si="4"/>
        <v>24271.808000000001</v>
      </c>
      <c r="K9" s="52">
        <f t="shared" si="5"/>
        <v>29663.616000000002</v>
      </c>
      <c r="L9" s="52">
        <f t="shared" si="6"/>
        <v>33887.487999999998</v>
      </c>
      <c r="M9" s="66">
        <f t="shared" si="7"/>
        <v>40447.232000000004</v>
      </c>
      <c r="O9" s="9" t="s">
        <v>21</v>
      </c>
      <c r="P9" s="15">
        <v>0.1</v>
      </c>
      <c r="Q9" s="23" t="s">
        <v>28</v>
      </c>
      <c r="R9" s="24"/>
    </row>
    <row r="10" spans="1:31" x14ac:dyDescent="0.25">
      <c r="A10" s="104"/>
      <c r="B10" s="107"/>
      <c r="C10" s="35" t="s">
        <v>57</v>
      </c>
      <c r="D10" s="9">
        <v>1</v>
      </c>
      <c r="E10" s="9">
        <f>(100*162)+ (0.95*2*1000)</f>
        <v>18100</v>
      </c>
      <c r="F10" s="21">
        <f>0.95*250*2</f>
        <v>475</v>
      </c>
      <c r="G10" s="21">
        <f t="shared" si="3"/>
        <v>1810</v>
      </c>
      <c r="H10" s="21">
        <f t="shared" si="0"/>
        <v>351.12</v>
      </c>
      <c r="I10" s="50">
        <f t="shared" si="1"/>
        <v>20261.12</v>
      </c>
      <c r="J10" s="65">
        <f t="shared" si="4"/>
        <v>24123.440000000002</v>
      </c>
      <c r="K10" s="11">
        <f t="shared" si="5"/>
        <v>30146.880000000001</v>
      </c>
      <c r="L10" s="11">
        <f t="shared" si="6"/>
        <v>34765.839999999997</v>
      </c>
      <c r="M10" s="61">
        <f t="shared" si="7"/>
        <v>42193.760000000002</v>
      </c>
    </row>
    <row r="11" spans="1:31" ht="15.75" thickBot="1" x14ac:dyDescent="0.3">
      <c r="A11" s="105"/>
      <c r="B11" s="107"/>
      <c r="C11" s="53" t="s">
        <v>58</v>
      </c>
      <c r="D11" s="16">
        <v>1</v>
      </c>
      <c r="E11" s="54">
        <f>(100*168)+ ((220*2.06*2*2))</f>
        <v>18612.8</v>
      </c>
      <c r="F11" s="38">
        <f>220*2.06*2*0.001*250*2</f>
        <v>453.2</v>
      </c>
      <c r="G11" s="38">
        <f t="shared" si="3"/>
        <v>1861.28</v>
      </c>
      <c r="H11" s="38">
        <f>F11*168*4*0.0011</f>
        <v>335.00543999999996</v>
      </c>
      <c r="I11" s="51">
        <f t="shared" si="1"/>
        <v>20809.085439999999</v>
      </c>
      <c r="J11" s="62">
        <f t="shared" si="4"/>
        <v>24494.145279999997</v>
      </c>
      <c r="K11" s="63">
        <f t="shared" si="5"/>
        <v>30375.490559999998</v>
      </c>
      <c r="L11" s="63">
        <f t="shared" si="6"/>
        <v>34916.814079999996</v>
      </c>
      <c r="M11" s="64">
        <f t="shared" si="7"/>
        <v>42138.181119999994</v>
      </c>
    </row>
    <row r="12" spans="1:31" x14ac:dyDescent="0.25">
      <c r="A12" s="109" t="s">
        <v>31</v>
      </c>
      <c r="B12" s="103" t="s">
        <v>13</v>
      </c>
      <c r="C12" s="17" t="s">
        <v>72</v>
      </c>
      <c r="D12" s="17">
        <v>2</v>
      </c>
      <c r="E12" s="17">
        <f>((100*86)+ ((2*320)+(5*1120)))*2</f>
        <v>29680</v>
      </c>
      <c r="F12" s="17">
        <f>((2*320)+(5*1120))*2*0.001*250</f>
        <v>3120</v>
      </c>
      <c r="G12" s="34">
        <f>0.1*E12</f>
        <v>2968</v>
      </c>
      <c r="H12" s="17">
        <f>F12*168*4*0.0011</f>
        <v>2306.3040000000001</v>
      </c>
      <c r="I12" s="43">
        <f>H12+G12+E12</f>
        <v>34954.304000000004</v>
      </c>
      <c r="J12" s="57">
        <f t="shared" si="4"/>
        <v>60323.648000000001</v>
      </c>
      <c r="K12" s="58">
        <f t="shared" si="5"/>
        <v>90967.296000000002</v>
      </c>
      <c r="L12" s="58">
        <f t="shared" si="6"/>
        <v>112385.728</v>
      </c>
      <c r="M12" s="59">
        <f t="shared" si="7"/>
        <v>152254.592</v>
      </c>
    </row>
    <row r="13" spans="1:31" x14ac:dyDescent="0.25">
      <c r="A13" s="109"/>
      <c r="B13" s="104"/>
      <c r="C13" s="9" t="s">
        <v>73</v>
      </c>
      <c r="D13" s="9">
        <v>1</v>
      </c>
      <c r="E13" s="9">
        <f>(100*162)+ ((4*640)+(5*2100))</f>
        <v>29260</v>
      </c>
      <c r="F13" s="9">
        <f>((4*640)+(5*2100))*0.001*250</f>
        <v>3265</v>
      </c>
      <c r="G13" s="21">
        <f t="shared" ref="G13:G21" si="8">0.1*E13</f>
        <v>2926</v>
      </c>
      <c r="H13" s="9">
        <f t="shared" ref="H13:H21" si="9">F13*168*4*0.0011</f>
        <v>2413.4880000000003</v>
      </c>
      <c r="I13" s="49">
        <f t="shared" ref="I13:I21" si="10">H13+G13+E13</f>
        <v>34599.487999999998</v>
      </c>
      <c r="J13" s="60">
        <f t="shared" si="4"/>
        <v>61147.856</v>
      </c>
      <c r="K13" s="11">
        <f t="shared" si="5"/>
        <v>93035.712</v>
      </c>
      <c r="L13" s="11">
        <f t="shared" si="6"/>
        <v>115269.61600000001</v>
      </c>
      <c r="M13" s="61">
        <f t="shared" si="7"/>
        <v>156811.424</v>
      </c>
    </row>
    <row r="14" spans="1:31" x14ac:dyDescent="0.25">
      <c r="A14" s="109"/>
      <c r="B14" s="104"/>
      <c r="C14" s="42" t="s">
        <v>74</v>
      </c>
      <c r="D14" s="9">
        <v>1</v>
      </c>
      <c r="E14" s="9">
        <f>(100*169)+ ((5*800)+(3*2520))</f>
        <v>28460</v>
      </c>
      <c r="F14" s="9">
        <f>((5*800)+(3*2520))*0.001*250</f>
        <v>2890</v>
      </c>
      <c r="G14" s="21">
        <f t="shared" si="8"/>
        <v>2846</v>
      </c>
      <c r="H14" s="9">
        <f t="shared" si="9"/>
        <v>2136.288</v>
      </c>
      <c r="I14" s="49">
        <f t="shared" si="10"/>
        <v>33442.288</v>
      </c>
      <c r="J14" s="65">
        <f t="shared" si="4"/>
        <v>56941.455999999998</v>
      </c>
      <c r="K14" s="52">
        <f t="shared" si="5"/>
        <v>85422.911999999997</v>
      </c>
      <c r="L14" s="52">
        <f t="shared" si="6"/>
        <v>105359.216</v>
      </c>
      <c r="M14" s="66">
        <f t="shared" si="7"/>
        <v>142385.82399999999</v>
      </c>
    </row>
    <row r="15" spans="1:31" ht="15.75" thickBot="1" x14ac:dyDescent="0.3">
      <c r="A15" s="109"/>
      <c r="B15" s="105"/>
      <c r="C15" s="16" t="s">
        <v>75</v>
      </c>
      <c r="D15" s="16">
        <v>1</v>
      </c>
      <c r="E15" s="16">
        <f>(100*154)+ ((2*1560)+(7*1330))</f>
        <v>27830</v>
      </c>
      <c r="F15" s="16">
        <f>((2*1560)+(7*1330))*0.001*250</f>
        <v>3107.5</v>
      </c>
      <c r="G15" s="38">
        <f t="shared" si="8"/>
        <v>2783</v>
      </c>
      <c r="H15" s="16">
        <f t="shared" si="9"/>
        <v>2297.0640000000003</v>
      </c>
      <c r="I15" s="56">
        <f t="shared" si="10"/>
        <v>32910.063999999998</v>
      </c>
      <c r="J15" s="62">
        <f t="shared" si="4"/>
        <v>58177.768000000004</v>
      </c>
      <c r="K15" s="63">
        <f t="shared" si="5"/>
        <v>88525.536000000007</v>
      </c>
      <c r="L15" s="63">
        <f t="shared" si="6"/>
        <v>109685.04800000001</v>
      </c>
      <c r="M15" s="64">
        <f t="shared" si="7"/>
        <v>149221.07200000001</v>
      </c>
    </row>
    <row r="16" spans="1:31" x14ac:dyDescent="0.25">
      <c r="A16" s="109"/>
      <c r="B16" s="103" t="s">
        <v>66</v>
      </c>
      <c r="C16" s="17" t="s">
        <v>69</v>
      </c>
      <c r="D16" s="55">
        <v>2</v>
      </c>
      <c r="E16" s="17">
        <f>((100*48)+ (160+(5*630)))*2</f>
        <v>16220</v>
      </c>
      <c r="F16" s="17">
        <f>(160+(5*630))*2*0.001*250</f>
        <v>1655</v>
      </c>
      <c r="G16" s="34">
        <f t="shared" si="8"/>
        <v>1622</v>
      </c>
      <c r="H16" s="17">
        <f t="shared" si="9"/>
        <v>1223.376</v>
      </c>
      <c r="I16" s="43">
        <f t="shared" si="10"/>
        <v>19065.376</v>
      </c>
      <c r="J16" s="57">
        <f t="shared" si="4"/>
        <v>32522.511999999999</v>
      </c>
      <c r="K16" s="58">
        <f t="shared" si="5"/>
        <v>48825.023999999998</v>
      </c>
      <c r="L16" s="58">
        <f t="shared" si="6"/>
        <v>60234.031999999999</v>
      </c>
      <c r="M16" s="59">
        <f t="shared" si="7"/>
        <v>81430.047999999995</v>
      </c>
    </row>
    <row r="17" spans="1:13" x14ac:dyDescent="0.25">
      <c r="A17" s="109"/>
      <c r="B17" s="104"/>
      <c r="C17" s="42" t="s">
        <v>68</v>
      </c>
      <c r="D17" s="9">
        <v>2</v>
      </c>
      <c r="E17" s="9">
        <f>((100*42)+ (160+(3*630)))*2</f>
        <v>12500</v>
      </c>
      <c r="F17" s="9">
        <f>(160+(3*630))*2*0.001*250</f>
        <v>1025</v>
      </c>
      <c r="G17" s="21">
        <f t="shared" si="8"/>
        <v>1250</v>
      </c>
      <c r="H17" s="9">
        <f t="shared" si="9"/>
        <v>757.68000000000006</v>
      </c>
      <c r="I17" s="50">
        <f t="shared" si="10"/>
        <v>14507.68</v>
      </c>
      <c r="J17" s="65">
        <f t="shared" si="4"/>
        <v>22842.16</v>
      </c>
      <c r="K17" s="52">
        <f t="shared" si="5"/>
        <v>33184.32</v>
      </c>
      <c r="L17" s="52">
        <f t="shared" si="6"/>
        <v>40495.760000000002</v>
      </c>
      <c r="M17" s="66">
        <f t="shared" si="7"/>
        <v>53868.639999999999</v>
      </c>
    </row>
    <row r="18" spans="1:13" x14ac:dyDescent="0.25">
      <c r="A18" s="109"/>
      <c r="B18" s="104"/>
      <c r="C18" s="9" t="s">
        <v>70</v>
      </c>
      <c r="D18" s="9">
        <v>1</v>
      </c>
      <c r="E18" s="9">
        <f>(100*105)+ ((3*480)+(3*1540))</f>
        <v>16560</v>
      </c>
      <c r="F18" s="9">
        <f>((3*480)+(3*1540))*0.001*250</f>
        <v>1515.0000000000002</v>
      </c>
      <c r="G18" s="21">
        <f t="shared" si="8"/>
        <v>1656</v>
      </c>
      <c r="H18" s="9">
        <f t="shared" si="9"/>
        <v>1119.8880000000001</v>
      </c>
      <c r="I18" s="49">
        <f t="shared" si="10"/>
        <v>19335.887999999999</v>
      </c>
      <c r="J18" s="60">
        <f t="shared" si="4"/>
        <v>31654.656000000003</v>
      </c>
      <c r="K18" s="11">
        <f t="shared" si="5"/>
        <v>46749.312000000005</v>
      </c>
      <c r="L18" s="11">
        <f t="shared" si="6"/>
        <v>57364.416000000005</v>
      </c>
      <c r="M18" s="61">
        <f t="shared" si="7"/>
        <v>76938.624000000011</v>
      </c>
    </row>
    <row r="19" spans="1:13" ht="15.75" thickBot="1" x14ac:dyDescent="0.3">
      <c r="A19" s="109"/>
      <c r="B19" s="105"/>
      <c r="C19" s="16" t="s">
        <v>71</v>
      </c>
      <c r="D19" s="16">
        <v>1</v>
      </c>
      <c r="E19" s="16">
        <f>(100*84)+ (780+(7*749))</f>
        <v>14423</v>
      </c>
      <c r="F19" s="16">
        <f>(780+(7*749))*0.001*250</f>
        <v>1505.75</v>
      </c>
      <c r="G19" s="38">
        <f t="shared" si="8"/>
        <v>1442.3000000000002</v>
      </c>
      <c r="H19" s="16">
        <f t="shared" si="9"/>
        <v>1113.0504000000001</v>
      </c>
      <c r="I19" s="51">
        <f t="shared" si="10"/>
        <v>16978.350399999999</v>
      </c>
      <c r="J19" s="62">
        <f t="shared" si="4"/>
        <v>29221.9048</v>
      </c>
      <c r="K19" s="63">
        <f t="shared" si="5"/>
        <v>44020.809600000001</v>
      </c>
      <c r="L19" s="63">
        <f t="shared" si="6"/>
        <v>54367.512800000004</v>
      </c>
      <c r="M19" s="64">
        <f t="shared" si="7"/>
        <v>73618.619200000001</v>
      </c>
    </row>
    <row r="20" spans="1:13" x14ac:dyDescent="0.25">
      <c r="A20" s="109"/>
      <c r="B20" s="103" t="s">
        <v>67</v>
      </c>
      <c r="C20" s="17" t="s">
        <v>69</v>
      </c>
      <c r="D20" s="17">
        <v>1</v>
      </c>
      <c r="E20" s="17">
        <f>(100*48)+ (160+(5*630))</f>
        <v>8110</v>
      </c>
      <c r="F20" s="17">
        <f>(160+(5*630))*0.001*250</f>
        <v>827.5</v>
      </c>
      <c r="G20" s="34">
        <f t="shared" si="8"/>
        <v>811</v>
      </c>
      <c r="H20" s="17">
        <f t="shared" si="9"/>
        <v>611.68799999999999</v>
      </c>
      <c r="I20" s="43">
        <f t="shared" si="10"/>
        <v>9532.6880000000001</v>
      </c>
      <c r="J20" s="57">
        <f t="shared" si="4"/>
        <v>16261.255999999999</v>
      </c>
      <c r="K20" s="58">
        <f t="shared" si="5"/>
        <v>24412.511999999999</v>
      </c>
      <c r="L20" s="58">
        <f t="shared" si="6"/>
        <v>30117.016</v>
      </c>
      <c r="M20" s="59">
        <f t="shared" si="7"/>
        <v>40715.023999999998</v>
      </c>
    </row>
    <row r="21" spans="1:13" ht="15.75" thickBot="1" x14ac:dyDescent="0.3">
      <c r="A21" s="109"/>
      <c r="B21" s="108"/>
      <c r="C21" s="71" t="s">
        <v>68</v>
      </c>
      <c r="D21" s="18">
        <v>1</v>
      </c>
      <c r="E21" s="18">
        <f>(100*42)+ (160+(3*630))</f>
        <v>6250</v>
      </c>
      <c r="F21" s="18">
        <f>(160+(3*630))*0.001*250</f>
        <v>512.5</v>
      </c>
      <c r="G21" s="37">
        <f t="shared" si="8"/>
        <v>625</v>
      </c>
      <c r="H21" s="18">
        <f t="shared" si="9"/>
        <v>378.84000000000003</v>
      </c>
      <c r="I21" s="67">
        <f t="shared" si="10"/>
        <v>7253.84</v>
      </c>
      <c r="J21" s="68">
        <f t="shared" si="4"/>
        <v>11421.08</v>
      </c>
      <c r="K21" s="69">
        <f t="shared" si="5"/>
        <v>16592.16</v>
      </c>
      <c r="L21" s="69">
        <f t="shared" si="6"/>
        <v>20247.88</v>
      </c>
      <c r="M21" s="70">
        <f t="shared" si="7"/>
        <v>26934.32</v>
      </c>
    </row>
    <row r="22" spans="1:13" x14ac:dyDescent="0.25">
      <c r="A22" s="36"/>
    </row>
    <row r="23" spans="1:13" ht="15.75" thickBot="1" x14ac:dyDescent="0.3">
      <c r="A23" s="36"/>
    </row>
    <row r="24" spans="1:13" ht="15.75" thickBot="1" x14ac:dyDescent="0.3">
      <c r="A24" s="72" t="s">
        <v>14</v>
      </c>
      <c r="B24" s="73" t="s">
        <v>81</v>
      </c>
      <c r="C24" s="73" t="s">
        <v>80</v>
      </c>
      <c r="D24" s="73" t="s">
        <v>82</v>
      </c>
      <c r="E24" s="73" t="s">
        <v>84</v>
      </c>
      <c r="F24" s="74" t="s">
        <v>83</v>
      </c>
    </row>
    <row r="25" spans="1:13" x14ac:dyDescent="0.25">
      <c r="A25" s="99" t="s">
        <v>13</v>
      </c>
      <c r="B25" s="17" t="s">
        <v>77</v>
      </c>
      <c r="C25" s="17">
        <v>132.06</v>
      </c>
      <c r="D25" s="17" t="s">
        <v>86</v>
      </c>
      <c r="E25" s="17">
        <v>1268</v>
      </c>
      <c r="F25" s="43">
        <f>C25*E25</f>
        <v>167452.08000000002</v>
      </c>
    </row>
    <row r="26" spans="1:13" x14ac:dyDescent="0.25">
      <c r="A26" s="100"/>
      <c r="B26" s="9" t="s">
        <v>76</v>
      </c>
      <c r="C26" s="9">
        <v>132.06</v>
      </c>
      <c r="D26" s="9" t="s">
        <v>85</v>
      </c>
      <c r="E26" s="9">
        <v>60</v>
      </c>
      <c r="F26" s="49">
        <f t="shared" ref="F26:F36" si="11">C26*E26</f>
        <v>7923.6</v>
      </c>
      <c r="G26">
        <f>C26+C27+C29+C30+C32+C33+C34+C35+C36</f>
        <v>756.81999999999994</v>
      </c>
      <c r="H26">
        <f>G26*60</f>
        <v>45409.2</v>
      </c>
    </row>
    <row r="27" spans="1:13" ht="15.75" thickBot="1" x14ac:dyDescent="0.3">
      <c r="A27" s="101"/>
      <c r="B27" s="18" t="s">
        <v>78</v>
      </c>
      <c r="C27" s="18">
        <v>159.76</v>
      </c>
      <c r="D27" s="18" t="s">
        <v>85</v>
      </c>
      <c r="E27" s="18">
        <v>60</v>
      </c>
      <c r="F27" s="48">
        <f t="shared" si="11"/>
        <v>9585.5999999999985</v>
      </c>
      <c r="G27">
        <f>C25+C28+C31</f>
        <v>263</v>
      </c>
      <c r="H27">
        <f>G27*1268</f>
        <v>333484</v>
      </c>
    </row>
    <row r="28" spans="1:13" x14ac:dyDescent="0.25">
      <c r="A28" s="99" t="s">
        <v>15</v>
      </c>
      <c r="B28" s="17" t="s">
        <v>77</v>
      </c>
      <c r="C28" s="17">
        <v>80.94</v>
      </c>
      <c r="D28" s="17" t="s">
        <v>86</v>
      </c>
      <c r="E28" s="17">
        <v>1268</v>
      </c>
      <c r="F28" s="43">
        <f t="shared" si="11"/>
        <v>102631.92</v>
      </c>
    </row>
    <row r="29" spans="1:13" x14ac:dyDescent="0.25">
      <c r="A29" s="100"/>
      <c r="B29" s="9" t="s">
        <v>76</v>
      </c>
      <c r="C29" s="9">
        <v>80.94</v>
      </c>
      <c r="D29" s="9" t="s">
        <v>85</v>
      </c>
      <c r="E29" s="9">
        <v>60</v>
      </c>
      <c r="F29" s="49">
        <f t="shared" si="11"/>
        <v>4856.3999999999996</v>
      </c>
    </row>
    <row r="30" spans="1:13" ht="15.75" thickBot="1" x14ac:dyDescent="0.3">
      <c r="A30" s="101"/>
      <c r="B30" s="18" t="s">
        <v>78</v>
      </c>
      <c r="C30" s="18">
        <v>133.12</v>
      </c>
      <c r="D30" s="18" t="s">
        <v>85</v>
      </c>
      <c r="E30" s="18">
        <v>60</v>
      </c>
      <c r="F30" s="48">
        <f t="shared" si="11"/>
        <v>7987.2000000000007</v>
      </c>
    </row>
    <row r="31" spans="1:13" x14ac:dyDescent="0.25">
      <c r="A31" s="99" t="s">
        <v>16</v>
      </c>
      <c r="B31" s="17" t="s">
        <v>77</v>
      </c>
      <c r="C31" s="17">
        <v>50</v>
      </c>
      <c r="D31" s="17" t="s">
        <v>86</v>
      </c>
      <c r="E31" s="17">
        <v>1268</v>
      </c>
      <c r="F31" s="43">
        <f t="shared" si="11"/>
        <v>63400</v>
      </c>
      <c r="G31">
        <f>6250*3</f>
        <v>18750</v>
      </c>
    </row>
    <row r="32" spans="1:13" x14ac:dyDescent="0.25">
      <c r="A32" s="100"/>
      <c r="B32" s="9" t="s">
        <v>76</v>
      </c>
      <c r="C32" s="9">
        <v>50</v>
      </c>
      <c r="D32" s="9" t="s">
        <v>85</v>
      </c>
      <c r="E32" s="9">
        <v>60</v>
      </c>
      <c r="F32" s="49">
        <f t="shared" si="11"/>
        <v>3000</v>
      </c>
    </row>
    <row r="33" spans="1:27" ht="15.75" thickBot="1" x14ac:dyDescent="0.3">
      <c r="A33" s="101"/>
      <c r="B33" s="18" t="s">
        <v>79</v>
      </c>
      <c r="C33" s="18">
        <v>80</v>
      </c>
      <c r="D33" s="18" t="s">
        <v>85</v>
      </c>
      <c r="E33" s="18">
        <v>60</v>
      </c>
      <c r="F33" s="48">
        <f t="shared" si="11"/>
        <v>4800</v>
      </c>
    </row>
    <row r="34" spans="1:27" x14ac:dyDescent="0.25">
      <c r="A34" s="75" t="s">
        <v>89</v>
      </c>
      <c r="B34" s="96" t="s">
        <v>88</v>
      </c>
      <c r="C34" s="46">
        <v>80.94</v>
      </c>
      <c r="D34" s="46" t="s">
        <v>85</v>
      </c>
      <c r="E34" s="46">
        <v>60</v>
      </c>
      <c r="F34" s="76">
        <f t="shared" si="11"/>
        <v>4856.3999999999996</v>
      </c>
    </row>
    <row r="35" spans="1:27" x14ac:dyDescent="0.25">
      <c r="A35" s="40" t="s">
        <v>91</v>
      </c>
      <c r="B35" s="97"/>
      <c r="C35" s="9">
        <v>27.2</v>
      </c>
      <c r="D35" s="9" t="s">
        <v>85</v>
      </c>
      <c r="E35" s="9">
        <v>60</v>
      </c>
      <c r="F35" s="77">
        <f t="shared" si="11"/>
        <v>1632</v>
      </c>
    </row>
    <row r="36" spans="1:27" ht="15.75" thickBot="1" x14ac:dyDescent="0.3">
      <c r="A36" s="41" t="s">
        <v>90</v>
      </c>
      <c r="B36" s="98"/>
      <c r="C36" s="18">
        <v>12.8</v>
      </c>
      <c r="D36" s="18" t="s">
        <v>85</v>
      </c>
      <c r="E36" s="18">
        <v>60</v>
      </c>
      <c r="F36" s="78">
        <f t="shared" si="11"/>
        <v>768</v>
      </c>
    </row>
    <row r="37" spans="1:27" ht="15.75" thickBot="1" x14ac:dyDescent="0.3">
      <c r="A37" s="36"/>
      <c r="E37" s="20" t="s">
        <v>87</v>
      </c>
      <c r="F37" s="79">
        <f>SUM(F25:F36)</f>
        <v>378893.20000000007</v>
      </c>
      <c r="R37" s="102" t="s">
        <v>32</v>
      </c>
      <c r="S37" s="102"/>
      <c r="T37" s="102"/>
      <c r="U37" s="102" t="s">
        <v>30</v>
      </c>
      <c r="V37" s="102"/>
      <c r="W37" s="102"/>
      <c r="X37" s="102"/>
      <c r="Y37" s="102"/>
      <c r="Z37" s="102"/>
      <c r="AA37" s="1"/>
    </row>
    <row r="38" spans="1:27" ht="15.75" thickBot="1" x14ac:dyDescent="0.3">
      <c r="A38" s="36"/>
      <c r="O38" s="10" t="s">
        <v>14</v>
      </c>
      <c r="P38" s="10" t="s">
        <v>17</v>
      </c>
      <c r="Q38" s="10" t="s">
        <v>33</v>
      </c>
      <c r="R38" s="27" t="s">
        <v>36</v>
      </c>
      <c r="S38" s="10" t="s">
        <v>37</v>
      </c>
      <c r="T38" s="10" t="s">
        <v>39</v>
      </c>
      <c r="U38" s="10" t="s">
        <v>38</v>
      </c>
      <c r="V38" s="10" t="s">
        <v>40</v>
      </c>
      <c r="W38" s="10" t="s">
        <v>41</v>
      </c>
      <c r="X38" s="10" t="s">
        <v>42</v>
      </c>
      <c r="Y38" s="10" t="s">
        <v>43</v>
      </c>
      <c r="Z38" s="10" t="s">
        <v>44</v>
      </c>
    </row>
    <row r="39" spans="1:27" ht="16.5" thickTop="1" thickBot="1" x14ac:dyDescent="0.3">
      <c r="A39" s="10" t="s">
        <v>14</v>
      </c>
      <c r="B39" s="10" t="s">
        <v>23</v>
      </c>
      <c r="C39" s="10" t="s">
        <v>24</v>
      </c>
      <c r="D39" s="10" t="s">
        <v>92</v>
      </c>
      <c r="E39" s="93" t="s">
        <v>99</v>
      </c>
      <c r="O39" s="9" t="s">
        <v>13</v>
      </c>
      <c r="P39" s="9">
        <v>32153</v>
      </c>
      <c r="Q39" s="26">
        <f>P39*0.86</f>
        <v>27651.579999999998</v>
      </c>
      <c r="R39" s="31">
        <v>28708</v>
      </c>
      <c r="S39" s="32">
        <f>P39/R39</f>
        <v>1.1200013933398356</v>
      </c>
      <c r="T39" s="9">
        <v>8.1199999999999992</v>
      </c>
      <c r="U39" s="9">
        <f>Q39+(860*T39)</f>
        <v>34634.78</v>
      </c>
      <c r="V39" s="9">
        <v>0.96</v>
      </c>
      <c r="W39" s="9">
        <v>1.01</v>
      </c>
      <c r="X39" s="9">
        <v>1.03</v>
      </c>
      <c r="Y39" s="9">
        <v>1.08</v>
      </c>
      <c r="Z39" s="21">
        <f>U39*V39*W39*X39*Y39</f>
        <v>37356.486302131205</v>
      </c>
      <c r="AA39" s="11"/>
    </row>
    <row r="40" spans="1:27" ht="16.5" thickTop="1" thickBot="1" x14ac:dyDescent="0.3">
      <c r="A40" s="9" t="s">
        <v>13</v>
      </c>
      <c r="B40" s="9">
        <v>88</v>
      </c>
      <c r="C40" s="12">
        <f>B40/3.5</f>
        <v>25.142857142857142</v>
      </c>
      <c r="D40" s="21">
        <f>C40*B44*0.0011</f>
        <v>2350.8571428571431</v>
      </c>
      <c r="E40" s="11">
        <f>D40*4*12</f>
        <v>112841.14285714287</v>
      </c>
      <c r="O40" s="9" t="s">
        <v>15</v>
      </c>
      <c r="P40" s="9">
        <v>13918</v>
      </c>
      <c r="Q40" s="29">
        <f t="shared" ref="Q40:Q41" si="12">P40*0.86</f>
        <v>11969.48</v>
      </c>
      <c r="R40" s="28">
        <v>19091</v>
      </c>
      <c r="S40" s="33">
        <f>P40/R40</f>
        <v>0.72903462364464933</v>
      </c>
      <c r="T40" s="9">
        <v>7.01</v>
      </c>
      <c r="U40" s="9">
        <f t="shared" ref="U40:U41" si="13">Q40+(860*T40)</f>
        <v>17998.079999999998</v>
      </c>
      <c r="V40" s="9">
        <v>0.96</v>
      </c>
      <c r="W40" s="9">
        <v>1.01</v>
      </c>
      <c r="X40" s="9">
        <v>1.03</v>
      </c>
      <c r="Y40" s="9">
        <v>1.08</v>
      </c>
      <c r="Z40" s="21">
        <f t="shared" ref="Z40:Z41" si="14">U40*V40*W40*X40*Y40</f>
        <v>19412.423840563199</v>
      </c>
      <c r="AA40" s="11"/>
    </row>
    <row r="41" spans="1:27" ht="16.5" thickTop="1" thickBot="1" x14ac:dyDescent="0.3">
      <c r="A41" s="9" t="s">
        <v>15</v>
      </c>
      <c r="B41" s="9">
        <v>44</v>
      </c>
      <c r="C41" s="12">
        <f>B41/3.5</f>
        <v>12.571428571428571</v>
      </c>
      <c r="D41" s="21">
        <f>C41*B44*0.0011</f>
        <v>1175.4285714285716</v>
      </c>
      <c r="E41" s="11">
        <f>D41*4*12</f>
        <v>56420.571428571435</v>
      </c>
      <c r="O41" s="9" t="s">
        <v>16</v>
      </c>
      <c r="P41" s="9">
        <v>4429</v>
      </c>
      <c r="Q41" s="29">
        <f t="shared" si="12"/>
        <v>3808.94</v>
      </c>
      <c r="R41" s="30">
        <v>19091</v>
      </c>
      <c r="S41" s="33">
        <f>P41/R41</f>
        <v>0.2319941333612697</v>
      </c>
      <c r="T41" s="9">
        <v>7.01</v>
      </c>
      <c r="U41" s="9">
        <f t="shared" si="13"/>
        <v>9837.5399999999991</v>
      </c>
      <c r="V41" s="9">
        <v>0.96</v>
      </c>
      <c r="W41" s="9">
        <v>1.01</v>
      </c>
      <c r="X41" s="9">
        <v>1.03</v>
      </c>
      <c r="Y41" s="9">
        <v>1.08</v>
      </c>
      <c r="Z41" s="21">
        <f t="shared" si="14"/>
        <v>10610.6037993216</v>
      </c>
      <c r="AA41" s="11"/>
    </row>
    <row r="42" spans="1:27" ht="15.75" thickTop="1" x14ac:dyDescent="0.25">
      <c r="A42" s="9" t="s">
        <v>16</v>
      </c>
      <c r="B42" s="14"/>
      <c r="C42" s="10" t="s">
        <v>87</v>
      </c>
      <c r="D42" s="21">
        <f>SUM(D40:D41)</f>
        <v>3526.2857142857147</v>
      </c>
      <c r="E42" s="21">
        <f>SUM(E40:E41)</f>
        <v>169261.71428571432</v>
      </c>
      <c r="Z42" s="11">
        <f>SUM(Z39:Z41)</f>
        <v>67379.513942015998</v>
      </c>
      <c r="AA42" s="11"/>
    </row>
    <row r="43" spans="1:27" x14ac:dyDescent="0.25">
      <c r="A43" s="36"/>
    </row>
    <row r="44" spans="1:27" x14ac:dyDescent="0.25">
      <c r="A44" s="10" t="s">
        <v>20</v>
      </c>
      <c r="B44" s="9">
        <v>85000</v>
      </c>
      <c r="C44" s="9" t="s">
        <v>22</v>
      </c>
    </row>
    <row r="46" spans="1:27" ht="15.75" thickBot="1" x14ac:dyDescent="0.3"/>
    <row r="47" spans="1:27" ht="28.5" x14ac:dyDescent="0.25">
      <c r="A47" s="94" t="s">
        <v>49</v>
      </c>
      <c r="B47" s="94" t="s">
        <v>93</v>
      </c>
      <c r="C47" s="80" t="s">
        <v>51</v>
      </c>
      <c r="D47" s="94" t="s">
        <v>95</v>
      </c>
      <c r="E47" s="94" t="s">
        <v>96</v>
      </c>
      <c r="F47" s="80" t="s">
        <v>97</v>
      </c>
      <c r="G47" s="80" t="s">
        <v>99</v>
      </c>
    </row>
    <row r="48" spans="1:27" ht="15.75" thickBot="1" x14ac:dyDescent="0.3">
      <c r="A48" s="95"/>
      <c r="B48" s="95"/>
      <c r="C48" s="81" t="s">
        <v>94</v>
      </c>
      <c r="D48" s="95"/>
      <c r="E48" s="95"/>
      <c r="F48" s="81" t="s">
        <v>98</v>
      </c>
      <c r="G48" s="81" t="s">
        <v>104</v>
      </c>
    </row>
    <row r="49" spans="1:7" ht="43.5" thickBot="1" x14ac:dyDescent="0.3">
      <c r="A49" s="82" t="s">
        <v>45</v>
      </c>
      <c r="B49" s="82">
        <v>8.1199999999999992</v>
      </c>
      <c r="C49" s="82">
        <v>2</v>
      </c>
      <c r="D49" s="83">
        <f>B49*C49*672</f>
        <v>10913.279999999999</v>
      </c>
      <c r="E49" s="83">
        <f>D49*12</f>
        <v>130959.35999999999</v>
      </c>
      <c r="F49" s="83">
        <f>0.1*E3</f>
        <v>6496</v>
      </c>
      <c r="G49" s="83">
        <f>(E49*250)+F49</f>
        <v>32746335.999999996</v>
      </c>
    </row>
    <row r="50" spans="1:7" ht="43.5" thickBot="1" x14ac:dyDescent="0.3">
      <c r="A50" s="82" t="s">
        <v>45</v>
      </c>
      <c r="B50" s="82">
        <v>7.01</v>
      </c>
      <c r="C50" s="82">
        <v>1</v>
      </c>
      <c r="D50" s="83">
        <f>B50*C50*672</f>
        <v>4710.72</v>
      </c>
      <c r="E50" s="83">
        <f t="shared" ref="E50:E53" si="15">D50*12</f>
        <v>56528.639999999999</v>
      </c>
      <c r="F50" s="83">
        <f>0.1*E4</f>
        <v>2804</v>
      </c>
      <c r="G50" s="83">
        <f t="shared" ref="G50:G53" si="16">(E50*250)+F50</f>
        <v>14134964</v>
      </c>
    </row>
    <row r="51" spans="1:7" ht="29.25" thickBot="1" x14ac:dyDescent="0.3">
      <c r="A51" s="82" t="s">
        <v>100</v>
      </c>
      <c r="B51" s="82">
        <v>1.58</v>
      </c>
      <c r="C51" s="82">
        <v>1</v>
      </c>
      <c r="D51" s="83">
        <f>B51*C51*672</f>
        <v>1061.76</v>
      </c>
      <c r="E51" s="83">
        <f t="shared" si="15"/>
        <v>12741.119999999999</v>
      </c>
      <c r="F51" s="83">
        <f>0.1*E9</f>
        <v>1888</v>
      </c>
      <c r="G51" s="83">
        <f t="shared" si="16"/>
        <v>3187167.9999999995</v>
      </c>
    </row>
    <row r="52" spans="1:7" ht="29.25" thickBot="1" x14ac:dyDescent="0.3">
      <c r="A52" s="82" t="s">
        <v>101</v>
      </c>
      <c r="B52" s="84">
        <v>11.56</v>
      </c>
      <c r="C52" s="82">
        <v>1</v>
      </c>
      <c r="D52" s="83">
        <f>B52*672</f>
        <v>7768.3200000000006</v>
      </c>
      <c r="E52" s="83">
        <f t="shared" si="15"/>
        <v>93219.840000000011</v>
      </c>
      <c r="F52" s="83">
        <f>0.1*E14</f>
        <v>2846</v>
      </c>
      <c r="G52" s="83">
        <f t="shared" si="16"/>
        <v>23307806.000000004</v>
      </c>
    </row>
    <row r="53" spans="1:7" ht="15.75" thickBot="1" x14ac:dyDescent="0.3">
      <c r="A53" s="80" t="s">
        <v>31</v>
      </c>
      <c r="B53" s="91">
        <v>2.0499999999999998</v>
      </c>
      <c r="C53" s="89">
        <v>3</v>
      </c>
      <c r="D53" s="83">
        <f>B53*C53*672*3</f>
        <v>12398.399999999998</v>
      </c>
      <c r="E53" s="83">
        <f t="shared" si="15"/>
        <v>148780.79999999999</v>
      </c>
      <c r="F53" s="85">
        <f>0.1*E21*3</f>
        <v>1875</v>
      </c>
      <c r="G53" s="83">
        <f t="shared" si="16"/>
        <v>37197075</v>
      </c>
    </row>
    <row r="54" spans="1:7" ht="15.75" thickBot="1" x14ac:dyDescent="0.3">
      <c r="A54" s="81" t="s">
        <v>102</v>
      </c>
      <c r="B54" s="92"/>
      <c r="C54" s="90"/>
      <c r="D54" s="88"/>
      <c r="E54" s="88"/>
      <c r="F54" s="88"/>
      <c r="G54" s="88"/>
    </row>
    <row r="55" spans="1:7" ht="15.75" thickBot="1" x14ac:dyDescent="0.3">
      <c r="A55" s="86"/>
      <c r="B55" s="86"/>
      <c r="C55" s="86"/>
      <c r="D55" s="86"/>
      <c r="E55" s="87"/>
      <c r="F55" s="82" t="s">
        <v>87</v>
      </c>
      <c r="G55" s="83">
        <f>SUM(G49:G53)</f>
        <v>110573349</v>
      </c>
    </row>
    <row r="59" spans="1:7" x14ac:dyDescent="0.25">
      <c r="B59" t="s">
        <v>103</v>
      </c>
      <c r="C59">
        <f>1*4*7*24</f>
        <v>672</v>
      </c>
    </row>
  </sheetData>
  <mergeCells count="17">
    <mergeCell ref="R37:T37"/>
    <mergeCell ref="U37:Z37"/>
    <mergeCell ref="A3:A4"/>
    <mergeCell ref="A5:A11"/>
    <mergeCell ref="B5:B11"/>
    <mergeCell ref="B12:B15"/>
    <mergeCell ref="B16:B19"/>
    <mergeCell ref="B20:B21"/>
    <mergeCell ref="A12:A21"/>
    <mergeCell ref="D47:D48"/>
    <mergeCell ref="E47:E48"/>
    <mergeCell ref="B34:B36"/>
    <mergeCell ref="A25:A27"/>
    <mergeCell ref="A28:A30"/>
    <mergeCell ref="A31:A33"/>
    <mergeCell ref="A47:A48"/>
    <mergeCell ref="B47:B48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Temperaturas en Quillota</vt:lpstr>
      <vt:lpstr>Seleccion de 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Campos Calderon (Alumno)</dc:creator>
  <cp:lastModifiedBy>Felipe Campos Calderon (Alumno)</cp:lastModifiedBy>
  <dcterms:created xsi:type="dcterms:W3CDTF">2026-06-08T20:28:25Z</dcterms:created>
  <dcterms:modified xsi:type="dcterms:W3CDTF">2026-06-30T17:49:44Z</dcterms:modified>
</cp:coreProperties>
</file>